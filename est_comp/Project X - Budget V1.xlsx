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774BD847-ACBA-4A04-968B-E8C05C2AA4EA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1" i="1"/>
  <c r="H11" i="1"/>
  <c r="H6" i="1"/>
  <c r="H3" i="1"/>
  <c r="H4" i="1"/>
  <c r="H5" i="1"/>
  <c r="H7" i="1"/>
  <c r="H8" i="1"/>
  <c r="H9" i="1"/>
  <c r="H10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7" i="1"/>
  <c r="H28" i="1"/>
  <c r="H29" i="1"/>
</calcChain>
</file>

<file path=xl/sharedStrings.xml><?xml version="1.0" encoding="utf-8"?>
<sst xmlns="http://schemas.openxmlformats.org/spreadsheetml/2006/main" count="82" uniqueCount="65">
  <si>
    <t>WBS</t>
  </si>
  <si>
    <t>Description</t>
  </si>
  <si>
    <t>Qty</t>
  </si>
  <si>
    <t>UOM</t>
  </si>
  <si>
    <t>Unit Cost</t>
  </si>
  <si>
    <t>Extended Cost</t>
  </si>
  <si>
    <t>1.1</t>
  </si>
  <si>
    <t>01 00 00 - General Requirements</t>
  </si>
  <si>
    <t>1.1.1</t>
  </si>
  <si>
    <t>Mobilization &amp; Site Staging</t>
  </si>
  <si>
    <t>ls</t>
  </si>
  <si>
    <t>1.1.2</t>
  </si>
  <si>
    <t>Building access</t>
  </si>
  <si>
    <t>1.2</t>
  </si>
  <si>
    <t>02 00 00 - Existing Conditions</t>
  </si>
  <si>
    <t>1.2.1</t>
  </si>
  <si>
    <t>Remove &amp; discard stucco system</t>
  </si>
  <si>
    <t>sy</t>
  </si>
  <si>
    <t>1.2.2</t>
  </si>
  <si>
    <t>Remove ACM panels</t>
  </si>
  <si>
    <t>sf</t>
  </si>
  <si>
    <t>1.2.3</t>
  </si>
  <si>
    <t>Remove parpet coping cap</t>
  </si>
  <si>
    <t>lf</t>
  </si>
  <si>
    <t>1.2.4</t>
  </si>
  <si>
    <t>Remove &amp; discard DensGlass sheathing</t>
  </si>
  <si>
    <t>1.4</t>
  </si>
  <si>
    <t>07 00 00 - Thermal &amp; Moisture Protection</t>
  </si>
  <si>
    <t>1.4.1</t>
  </si>
  <si>
    <t>Replace DensGlass sheathing</t>
  </si>
  <si>
    <t>1.4.2</t>
  </si>
  <si>
    <t>Apply fluild-applied air &amp; vapor barrier</t>
  </si>
  <si>
    <t>1.4.3</t>
  </si>
  <si>
    <t>Install drip edge head flashings</t>
  </si>
  <si>
    <t>1.4.4</t>
  </si>
  <si>
    <t>Install perimeter metal flashings around curtain wall</t>
  </si>
  <si>
    <t>1.4.5</t>
  </si>
  <si>
    <t>Install new perimeter T-Flashing</t>
  </si>
  <si>
    <t>1.4.6</t>
  </si>
  <si>
    <t>Counter flashing T-Flashing</t>
  </si>
  <si>
    <t>1.4.7</t>
  </si>
  <si>
    <t>Apply primary &amp; secondary sealants per original project specifications</t>
  </si>
  <si>
    <t>1.4.8</t>
  </si>
  <si>
    <t>Replace ACM panels</t>
  </si>
  <si>
    <t>1.4.9</t>
  </si>
  <si>
    <t>Repalce parapet coping cap</t>
  </si>
  <si>
    <t>1.5</t>
  </si>
  <si>
    <t>08 00 00 - Openings</t>
  </si>
  <si>
    <t>1.5.1</t>
  </si>
  <si>
    <t>Remove &amp; replace glazed door assemblies</t>
  </si>
  <si>
    <t>ea</t>
  </si>
  <si>
    <t>1.5.2</t>
  </si>
  <si>
    <t>Install exterior door sweeps</t>
  </si>
  <si>
    <t>1.5.3</t>
  </si>
  <si>
    <t>Adjust doors</t>
  </si>
  <si>
    <t>1.5.4</t>
  </si>
  <si>
    <t>Install window &amp; glazing sealants</t>
  </si>
  <si>
    <t>1.6</t>
  </si>
  <si>
    <t>09 00 00 - Finishes</t>
  </si>
  <si>
    <t>1.6.1</t>
  </si>
  <si>
    <t>Install stucco paper &amp; lath</t>
  </si>
  <si>
    <t>1.6.2</t>
  </si>
  <si>
    <t>Install stucco system per orignal project specifications</t>
  </si>
  <si>
    <t>1.6.3</t>
  </si>
  <si>
    <t>Prime and paint stucco per orignal project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</si>
</sst>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2"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E2D3E-9FD8-4374-9A49-BC04B2125E88}" name="budget_v1" displayName="budget_v1" ref="C2:H29" totalsRowShown="0">
  <autoFilter ref="C2:H29" xr:uid="{9C0E2D3E-9FD8-4374-9A49-BC04B2125E88}"/>
  <tableColumns count="6">
    <tableColumn id="1" xr3:uid="{1BF7582D-06A8-42EC-B4F8-82033663C32C}" name="WBS"/>
    <tableColumn id="2" xr3:uid="{5010C41F-C170-41A2-8233-DE7A0EDA97B7}" name="Description"/>
    <tableColumn id="3" xr3:uid="{C4D6F7EC-B95C-4250-83A9-C78153A466E2}" name="Qty"/>
    <tableColumn id="4" xr3:uid="{40B0463F-528C-4142-9EEB-E9AFAD432013}" name="UOM"/>
    <tableColumn id="5" xr3:uid="{FCADF9AA-C6D8-4ACE-A1C9-BD2A06BB9947}" name="Unit Cost" dataDxfId="1" dataCellStyle="Currency"/>
    <tableColumn id="6" xr3:uid="{9F735A16-02CF-4A91-B3A1-7713B4C5D508}" name="Extended Cost" dataDxfId="0">
      <calculatedColumnFormula>budget_v1[[#This Row],[Unit Cost]]*budget_v1[[#This Row],[Qty]]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29"/>
  <sheetViews>
    <sheetView tabSelected="1" workbookViewId="0">
      <selection activeCell="D6" sqref="D6"/>
    </sheetView>
  </sheetViews>
  <sheetFormatPr defaultRowHeight="14.25" x14ac:dyDescent="0.45"/>
  <cols>
    <col min="2" max="2" width="4.3984375" bestFit="1" customWidth="1"/>
    <col min="3" max="3" width="6.33203125" customWidth="1"/>
    <col min="4" max="4" width="56.1328125" bestFit="1" customWidth="1"/>
    <col min="5" max="5" width="5.73046875" bestFit="1" customWidth="1"/>
    <col min="6" max="6" width="6.86328125" customWidth="1"/>
    <col min="7" max="7" width="11.86328125" style="1" bestFit="1" customWidth="1"/>
    <col min="8" max="8" width="14.265625" customWidth="1"/>
  </cols>
  <sheetData>
    <row r="2" spans="3:8" x14ac:dyDescent="0.45">
      <c r="C2" t="s">
        <v>0</v>
      </c>
      <c r="D2" t="s">
        <v>1</v>
      </c>
      <c r="E2" t="s">
        <v>2</v>
      </c>
      <c r="F2" t="s">
        <v>3</v>
      </c>
      <c r="G2" s="1" t="s">
        <v>4</v>
      </c>
      <c r="H2" t="s">
        <v>5</v>
      </c>
    </row>
    <row r="3" spans="3:8" x14ac:dyDescent="0.45">
      <c r="C3" t="s">
        <v>6</v>
      </c>
      <c r="D3" t="s">
        <v>7</v>
      </c>
      <c r="H3" s="2">
        <f>SUM(H4:H5)</f>
        <v>891359.4550131408</v>
      </c>
    </row>
    <row r="4" spans="3:8" x14ac:dyDescent="0.45">
      <c r="C4" t="s">
        <v>8</v>
      </c>
      <c r="D4" t="s">
        <v>9</v>
      </c>
      <c r="E4">
        <v>1</v>
      </c>
      <c r="F4" t="s">
        <v>10</v>
      </c>
      <c r="G4" s="1">
        <v>321903.43430188828</v>
      </c>
      <c r="H4" s="2">
        <f>budget_v1[[#This Row],[Unit Cost]]*budget_v1[[#This Row],[Qty]]</f>
        <v>321903.43430188828</v>
      </c>
    </row>
    <row r="5" spans="3:8" x14ac:dyDescent="0.45">
      <c r="C5" t="s">
        <v>11</v>
      </c>
      <c r="D5" t="s">
        <v>12</v>
      </c>
      <c r="E5">
        <v>1</v>
      </c>
      <c r="F5" t="s">
        <v>10</v>
      </c>
      <c r="G5" s="1">
        <v>569456.02071125247</v>
      </c>
      <c r="H5" s="2">
        <f>budget_v1[[#This Row],[Unit Cost]]*budget_v1[[#This Row],[Qty]]</f>
        <v>569456.02071125247</v>
      </c>
    </row>
    <row r="6" spans="3:8" x14ac:dyDescent="0.45">
      <c r="C6" t="s">
        <v>13</v>
      </c>
      <c r="D6" t="s">
        <v>14</v>
      </c>
      <c r="H6" s="2">
        <f>SUM(H7:H10)</f>
        <v>1338020.3383071106</v>
      </c>
    </row>
    <row r="7" spans="3:8" x14ac:dyDescent="0.45">
      <c r="C7" t="s">
        <v>15</v>
      </c>
      <c r="D7" t="s">
        <v>16</v>
      </c>
      <c r="E7">
        <v>6109</v>
      </c>
      <c r="F7" t="s">
        <v>17</v>
      </c>
      <c r="G7" s="1">
        <v>94.809303333695624</v>
      </c>
      <c r="H7" s="2">
        <f>budget_v1[[#This Row],[Unit Cost]]*budget_v1[[#This Row],[Qty]]</f>
        <v>579190.03406554658</v>
      </c>
    </row>
    <row r="8" spans="3:8" x14ac:dyDescent="0.45">
      <c r="C8" t="s">
        <v>18</v>
      </c>
      <c r="D8" t="s">
        <v>19</v>
      </c>
      <c r="E8">
        <v>7362</v>
      </c>
      <c r="F8" t="s">
        <v>20</v>
      </c>
      <c r="G8" s="1">
        <v>10.759055409501517</v>
      </c>
      <c r="H8" s="2">
        <f>budget_v1[[#This Row],[Unit Cost]]*budget_v1[[#This Row],[Qty]]</f>
        <v>79208.165924750167</v>
      </c>
    </row>
    <row r="9" spans="3:8" x14ac:dyDescent="0.45">
      <c r="C9" t="s">
        <v>21</v>
      </c>
      <c r="D9" t="s">
        <v>22</v>
      </c>
      <c r="E9">
        <v>2250</v>
      </c>
      <c r="F9" t="s">
        <v>23</v>
      </c>
      <c r="G9" s="1">
        <v>11.495412642392717</v>
      </c>
      <c r="H9" s="2">
        <f>budget_v1[[#This Row],[Unit Cost]]*budget_v1[[#This Row],[Qty]]</f>
        <v>25864.678445383612</v>
      </c>
    </row>
    <row r="10" spans="3:8" x14ac:dyDescent="0.45">
      <c r="C10" t="s">
        <v>24</v>
      </c>
      <c r="D10" t="s">
        <v>25</v>
      </c>
      <c r="E10">
        <v>62336</v>
      </c>
      <c r="F10" t="s">
        <v>20</v>
      </c>
      <c r="G10" s="1">
        <v>10.487638922475462</v>
      </c>
      <c r="H10" s="2">
        <f>budget_v1[[#This Row],[Unit Cost]]*budget_v1[[#This Row],[Qty]]</f>
        <v>653757.45987143042</v>
      </c>
    </row>
    <row r="11" spans="3:8" x14ac:dyDescent="0.45">
      <c r="C11" t="s">
        <v>26</v>
      </c>
      <c r="D11" t="s">
        <v>27</v>
      </c>
      <c r="H11" s="2">
        <f>SUM(H12:H20)</f>
        <v>3321435.337788247</v>
      </c>
    </row>
    <row r="12" spans="3:8" x14ac:dyDescent="0.45">
      <c r="C12" t="s">
        <v>28</v>
      </c>
      <c r="D12" t="s">
        <v>29</v>
      </c>
      <c r="E12">
        <v>62336</v>
      </c>
      <c r="F12" t="s">
        <v>20</v>
      </c>
      <c r="G12" s="1">
        <v>12.868424554062548</v>
      </c>
      <c r="H12" s="2">
        <f>budget_v1[[#This Row],[Unit Cost]]*budget_v1[[#This Row],[Qty]]</f>
        <v>802166.11300204298</v>
      </c>
    </row>
    <row r="13" spans="3:8" x14ac:dyDescent="0.45">
      <c r="C13" t="s">
        <v>30</v>
      </c>
      <c r="D13" t="s">
        <v>31</v>
      </c>
      <c r="E13">
        <v>62336</v>
      </c>
      <c r="F13" t="s">
        <v>20</v>
      </c>
      <c r="G13" s="1">
        <v>14.644653895871786</v>
      </c>
      <c r="H13" s="2">
        <f>budget_v1[[#This Row],[Unit Cost]]*budget_v1[[#This Row],[Qty]]</f>
        <v>912889.14525306365</v>
      </c>
    </row>
    <row r="14" spans="3:8" x14ac:dyDescent="0.45">
      <c r="C14" t="s">
        <v>32</v>
      </c>
      <c r="D14" t="s">
        <v>33</v>
      </c>
      <c r="E14">
        <v>1400</v>
      </c>
      <c r="F14" t="s">
        <v>23</v>
      </c>
      <c r="G14" s="1">
        <v>26.701017443649761</v>
      </c>
      <c r="H14" s="2">
        <f>budget_v1[[#This Row],[Unit Cost]]*budget_v1[[#This Row],[Qty]]</f>
        <v>37381.424421109667</v>
      </c>
    </row>
    <row r="15" spans="3:8" x14ac:dyDescent="0.45">
      <c r="C15" t="s">
        <v>34</v>
      </c>
      <c r="D15" t="s">
        <v>35</v>
      </c>
      <c r="E15">
        <v>1650</v>
      </c>
      <c r="F15" t="s">
        <v>23</v>
      </c>
      <c r="G15" s="1">
        <v>59.662064053300519</v>
      </c>
      <c r="H15" s="2">
        <f>budget_v1[[#This Row],[Unit Cost]]*budget_v1[[#This Row],[Qty]]</f>
        <v>98442.405687945851</v>
      </c>
    </row>
    <row r="16" spans="3:8" x14ac:dyDescent="0.45">
      <c r="C16" t="s">
        <v>36</v>
      </c>
      <c r="D16" t="s">
        <v>37</v>
      </c>
      <c r="E16">
        <v>3550</v>
      </c>
      <c r="F16" t="s">
        <v>23</v>
      </c>
      <c r="G16" s="1">
        <v>29.755882005991737</v>
      </c>
      <c r="H16" s="2">
        <f>budget_v1[[#This Row],[Unit Cost]]*budget_v1[[#This Row],[Qty]]</f>
        <v>105633.38112127066</v>
      </c>
    </row>
    <row r="17" spans="3:8" x14ac:dyDescent="0.45">
      <c r="C17" t="s">
        <v>38</v>
      </c>
      <c r="D17" t="s">
        <v>39</v>
      </c>
      <c r="E17">
        <v>3550</v>
      </c>
      <c r="F17" t="s">
        <v>23</v>
      </c>
      <c r="G17" s="1">
        <v>29.755882005991737</v>
      </c>
      <c r="H17" s="2">
        <f>budget_v1[[#This Row],[Unit Cost]]*budget_v1[[#This Row],[Qty]]</f>
        <v>105633.38112127066</v>
      </c>
    </row>
    <row r="18" spans="3:8" x14ac:dyDescent="0.45">
      <c r="C18" t="s">
        <v>40</v>
      </c>
      <c r="D18" t="s">
        <v>41</v>
      </c>
      <c r="E18">
        <v>12340</v>
      </c>
      <c r="F18" t="s">
        <v>23</v>
      </c>
      <c r="G18" s="1">
        <v>14.425130275731325</v>
      </c>
      <c r="H18" s="2">
        <f>budget_v1[[#This Row],[Unit Cost]]*budget_v1[[#This Row],[Qty]]</f>
        <v>178006.10760252454</v>
      </c>
    </row>
    <row r="19" spans="3:8" x14ac:dyDescent="0.45">
      <c r="C19" t="s">
        <v>42</v>
      </c>
      <c r="D19" t="s">
        <v>43</v>
      </c>
      <c r="E19">
        <v>7362</v>
      </c>
      <c r="F19" t="s">
        <v>20</v>
      </c>
      <c r="G19" s="1">
        <v>121.01994678028061</v>
      </c>
      <c r="H19" s="2">
        <f>budget_v1[[#This Row],[Unit Cost]]*budget_v1[[#This Row],[Qty]]</f>
        <v>890948.84819642582</v>
      </c>
    </row>
    <row r="20" spans="3:8" x14ac:dyDescent="0.45">
      <c r="C20" t="s">
        <v>44</v>
      </c>
      <c r="D20" t="s">
        <v>45</v>
      </c>
      <c r="E20">
        <v>2250</v>
      </c>
      <c r="F20" t="s">
        <v>23</v>
      </c>
      <c r="G20" s="1">
        <v>84.593125058930383</v>
      </c>
      <c r="H20" s="2">
        <f>budget_v1[[#This Row],[Unit Cost]]*budget_v1[[#This Row],[Qty]]</f>
        <v>190334.53138259336</v>
      </c>
    </row>
    <row r="21" spans="3:8" x14ac:dyDescent="0.45">
      <c r="C21" t="s">
        <v>46</v>
      </c>
      <c r="D21" t="s">
        <v>47</v>
      </c>
      <c r="H21" s="2">
        <f>SUM(H22:H25)</f>
        <v>341620.92881840246</v>
      </c>
    </row>
    <row r="22" spans="3:8" x14ac:dyDescent="0.45">
      <c r="C22" t="s">
        <v>48</v>
      </c>
      <c r="D22" t="s">
        <v>49</v>
      </c>
      <c r="E22">
        <v>15</v>
      </c>
      <c r="F22" t="s">
        <v>50</v>
      </c>
      <c r="G22" s="1">
        <v>7754.5221830082355</v>
      </c>
      <c r="H22" s="2">
        <f>budget_v1[[#This Row],[Unit Cost]]*budget_v1[[#This Row],[Qty]]</f>
        <v>116317.83274512354</v>
      </c>
    </row>
    <row r="23" spans="3:8" x14ac:dyDescent="0.45">
      <c r="C23" t="s">
        <v>51</v>
      </c>
      <c r="D23" t="s">
        <v>52</v>
      </c>
      <c r="E23">
        <v>25</v>
      </c>
      <c r="F23" t="s">
        <v>50</v>
      </c>
      <c r="G23" s="1">
        <v>1180.8682064872953</v>
      </c>
      <c r="H23" s="2">
        <f>budget_v1[[#This Row],[Unit Cost]]*budget_v1[[#This Row],[Qty]]</f>
        <v>29521.705162182381</v>
      </c>
    </row>
    <row r="24" spans="3:8" x14ac:dyDescent="0.45">
      <c r="C24" t="s">
        <v>53</v>
      </c>
      <c r="D24" t="s">
        <v>54</v>
      </c>
      <c r="E24">
        <v>25</v>
      </c>
      <c r="F24" t="s">
        <v>50</v>
      </c>
      <c r="G24" s="1">
        <v>1547.760222867257</v>
      </c>
      <c r="H24" s="2">
        <f>budget_v1[[#This Row],[Unit Cost]]*budget_v1[[#This Row],[Qty]]</f>
        <v>38694.005571681424</v>
      </c>
    </row>
    <row r="25" spans="3:8" x14ac:dyDescent="0.45">
      <c r="C25" t="s">
        <v>55</v>
      </c>
      <c r="D25" t="s">
        <v>56</v>
      </c>
      <c r="E25">
        <v>20100</v>
      </c>
      <c r="F25" t="s">
        <v>23</v>
      </c>
      <c r="G25" s="1">
        <v>7.8152928029559758</v>
      </c>
      <c r="H25" s="2">
        <f>budget_v1[[#This Row],[Unit Cost]]*budget_v1[[#This Row],[Qty]]</f>
        <v>157087.38533941511</v>
      </c>
    </row>
    <row r="26" spans="3:8" x14ac:dyDescent="0.45">
      <c r="C26" t="s">
        <v>57</v>
      </c>
      <c r="D26" t="s">
        <v>58</v>
      </c>
      <c r="H26" s="2">
        <f>SUM(H27:H29)</f>
        <v>2086807.2900730988</v>
      </c>
    </row>
    <row r="27" spans="3:8" x14ac:dyDescent="0.45">
      <c r="C27" t="s">
        <v>59</v>
      </c>
      <c r="D27" t="s">
        <v>60</v>
      </c>
      <c r="E27">
        <v>6109</v>
      </c>
      <c r="F27" t="s">
        <v>17</v>
      </c>
      <c r="G27" s="1">
        <v>67.327191418479018</v>
      </c>
      <c r="H27" s="2">
        <f>budget_v1[[#This Row],[Unit Cost]]*budget_v1[[#This Row],[Qty]]</f>
        <v>411301.81237548834</v>
      </c>
    </row>
    <row r="28" spans="3:8" x14ac:dyDescent="0.45">
      <c r="C28" t="s">
        <v>61</v>
      </c>
      <c r="D28" t="s">
        <v>62</v>
      </c>
      <c r="E28">
        <v>6109</v>
      </c>
      <c r="F28" t="s">
        <v>17</v>
      </c>
      <c r="G28" s="1">
        <v>227.59830434631323</v>
      </c>
      <c r="H28" s="2">
        <f>budget_v1[[#This Row],[Unit Cost]]*budget_v1[[#This Row],[Qty]]</f>
        <v>1390398.0412516275</v>
      </c>
    </row>
    <row r="29" spans="3:8" x14ac:dyDescent="0.45">
      <c r="C29" t="s">
        <v>63</v>
      </c>
      <c r="D29" t="s">
        <v>64</v>
      </c>
      <c r="E29">
        <v>54974</v>
      </c>
      <c r="F29" t="s">
        <v>20</v>
      </c>
      <c r="G29" s="1">
        <v>5.1862232409135753</v>
      </c>
      <c r="H29" s="2">
        <f>budget_v1[[#This Row],[Unit Cost]]*budget_v1[[#This Row],[Qty]]</f>
        <v>285107.43644598289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2026-07-15T05:00:00Z</dcterms:modified>
</cp:coreProperties>
</file>