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\\Mac\Home\Downloads\"/>
    </mc:Choice>
  </mc:AlternateContent>
  <xr:revisionPtr revIDLastSave="0" documentId="13_ncr:1_{17C6EC90-6596-497F-B263-33D546EC53C3}" xr6:coauthVersionLast="47" xr6:coauthVersionMax="47" xr10:uidLastSave="{00000000-0000-0000-0000-000000000000}"/>
  <bookViews>
    <workbookView xWindow="-98" yWindow="-98" windowWidth="22245" windowHeight="13321" xr2:uid="{00000000-000D-0000-FFFF-FFFF00000000}"/>
  </bookViews>
  <sheets>
    <sheet name="Ribbon" sheetId="1" r:id="rId1"/>
    <sheet name="budget_v1" sheetId="2" r:id="rId2"/>
    <sheet name="budget_v2" sheetId="3" r:id="rId3"/>
    <sheet name="budget_v3" sheetId="4" r:id="rId4"/>
  </sheets>
  <definedNames>
    <definedName name="ExternalData_1" localSheetId="1" hidden="1">budget_v1!$A$1:$F$28</definedName>
    <definedName name="ExternalData_2" localSheetId="2" hidden="1">budget_v2!$A$1:$F$28</definedName>
    <definedName name="ExternalData_3" localSheetId="3" hidden="1">budget_v3!$A$1:$F$28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budget_v1_993582aa-5f43-4e90-a950-17f75bac7adc" name="budget_v1" connection="Query - budget_v1"/>
          <x15:modelTable id="budget_v2_a170f4d1-d6d7-45b6-86d6-87339a30be59" name="budget_v2" connection="Query - budget_v2"/>
          <x15:modelTable id="budget_v3_efc4e586-905a-4505-ae9e-c49542e853cb" name="budget_v3" connection="Query - budget_v3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4" l="1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" i="3"/>
  <c r="G3" i="3"/>
  <c r="G4" i="3"/>
  <c r="B3" i="1" s="1" a="1"/>
  <c r="N55" i="1" s="1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J54" i="1" l="1"/>
  <c r="J38" i="1"/>
  <c r="J22" i="1"/>
  <c r="J6" i="1"/>
  <c r="J82" i="1"/>
  <c r="J66" i="1"/>
  <c r="J50" i="1"/>
  <c r="J34" i="1"/>
  <c r="J18" i="1"/>
  <c r="J70" i="1"/>
  <c r="J78" i="1"/>
  <c r="J62" i="1"/>
  <c r="J46" i="1"/>
  <c r="J30" i="1"/>
  <c r="J14" i="1"/>
  <c r="J74" i="1"/>
  <c r="J58" i="1"/>
  <c r="J42" i="1"/>
  <c r="J26" i="1"/>
  <c r="J10" i="1"/>
  <c r="K79" i="1"/>
  <c r="K67" i="1"/>
  <c r="K55" i="1"/>
  <c r="K43" i="1"/>
  <c r="K31" i="1"/>
  <c r="K19" i="1"/>
  <c r="K7" i="1"/>
  <c r="L76" i="1"/>
  <c r="L64" i="1"/>
  <c r="L52" i="1"/>
  <c r="L44" i="1"/>
  <c r="L32" i="1"/>
  <c r="L28" i="1"/>
  <c r="L15" i="1"/>
  <c r="L10" i="1"/>
  <c r="L5" i="1"/>
  <c r="M80" i="1"/>
  <c r="M75" i="1"/>
  <c r="M70" i="1"/>
  <c r="M64" i="1"/>
  <c r="M59" i="1"/>
  <c r="M54" i="1"/>
  <c r="M48" i="1"/>
  <c r="M43" i="1"/>
  <c r="M38" i="1"/>
  <c r="M30" i="1"/>
  <c r="M22" i="1"/>
  <c r="M10" i="1"/>
  <c r="N75" i="1"/>
  <c r="N59" i="1"/>
  <c r="N43" i="1"/>
  <c r="K75" i="1"/>
  <c r="K63" i="1"/>
  <c r="K51" i="1"/>
  <c r="K39" i="1"/>
  <c r="K27" i="1"/>
  <c r="K15" i="1"/>
  <c r="K3" i="1"/>
  <c r="L72" i="1"/>
  <c r="L60" i="1"/>
  <c r="L40" i="1"/>
  <c r="L24" i="1"/>
  <c r="J81" i="1"/>
  <c r="J77" i="1"/>
  <c r="J73" i="1"/>
  <c r="J69" i="1"/>
  <c r="J65" i="1"/>
  <c r="J61" i="1"/>
  <c r="J57" i="1"/>
  <c r="J53" i="1"/>
  <c r="J49" i="1"/>
  <c r="J45" i="1"/>
  <c r="J41" i="1"/>
  <c r="J37" i="1"/>
  <c r="J33" i="1"/>
  <c r="J29" i="1"/>
  <c r="J25" i="1"/>
  <c r="J21" i="1"/>
  <c r="J17" i="1"/>
  <c r="J13" i="1"/>
  <c r="J9" i="1"/>
  <c r="J5" i="1"/>
  <c r="K82" i="1"/>
  <c r="K78" i="1"/>
  <c r="K74" i="1"/>
  <c r="K70" i="1"/>
  <c r="K66" i="1"/>
  <c r="K62" i="1"/>
  <c r="K58" i="1"/>
  <c r="K54" i="1"/>
  <c r="K50" i="1"/>
  <c r="K46" i="1"/>
  <c r="K42" i="1"/>
  <c r="K38" i="1"/>
  <c r="K34" i="1"/>
  <c r="K30" i="1"/>
  <c r="K26" i="1"/>
  <c r="K22" i="1"/>
  <c r="K18" i="1"/>
  <c r="K14" i="1"/>
  <c r="K10" i="1"/>
  <c r="K6" i="1"/>
  <c r="L83" i="1"/>
  <c r="L79" i="1"/>
  <c r="L75" i="1"/>
  <c r="L71" i="1"/>
  <c r="L67" i="1"/>
  <c r="L63" i="1"/>
  <c r="L59" i="1"/>
  <c r="L55" i="1"/>
  <c r="L51" i="1"/>
  <c r="L47" i="1"/>
  <c r="L43" i="1"/>
  <c r="L39" i="1"/>
  <c r="L35" i="1"/>
  <c r="L31" i="1"/>
  <c r="L27" i="1"/>
  <c r="L23" i="1"/>
  <c r="L19" i="1"/>
  <c r="L14" i="1"/>
  <c r="L9" i="1"/>
  <c r="L3" i="1"/>
  <c r="M79" i="1"/>
  <c r="M74" i="1"/>
  <c r="M68" i="1"/>
  <c r="M63" i="1"/>
  <c r="M58" i="1"/>
  <c r="M52" i="1"/>
  <c r="M47" i="1"/>
  <c r="M42" i="1"/>
  <c r="M36" i="1"/>
  <c r="M28" i="1"/>
  <c r="M20" i="1"/>
  <c r="M6" i="1"/>
  <c r="N71" i="1"/>
  <c r="B3" i="1"/>
  <c r="J3" i="1" s="1"/>
  <c r="P4" i="1"/>
  <c r="P8" i="1"/>
  <c r="P12" i="1"/>
  <c r="P16" i="1"/>
  <c r="P20" i="1"/>
  <c r="P24" i="1"/>
  <c r="P28" i="1"/>
  <c r="P32" i="1"/>
  <c r="P36" i="1"/>
  <c r="P40" i="1"/>
  <c r="P44" i="1"/>
  <c r="P48" i="1"/>
  <c r="P52" i="1"/>
  <c r="P56" i="1"/>
  <c r="P60" i="1"/>
  <c r="P64" i="1"/>
  <c r="P68" i="1"/>
  <c r="P72" i="1"/>
  <c r="P76" i="1"/>
  <c r="P80" i="1"/>
  <c r="O3" i="1"/>
  <c r="O7" i="1"/>
  <c r="O11" i="1"/>
  <c r="O15" i="1"/>
  <c r="O19" i="1"/>
  <c r="O23" i="1"/>
  <c r="O27" i="1"/>
  <c r="O31" i="1"/>
  <c r="O35" i="1"/>
  <c r="O39" i="1"/>
  <c r="O43" i="1"/>
  <c r="O47" i="1"/>
  <c r="O51" i="1"/>
  <c r="O55" i="1"/>
  <c r="O59" i="1"/>
  <c r="O63" i="1"/>
  <c r="O67" i="1"/>
  <c r="O71" i="1"/>
  <c r="O75" i="1"/>
  <c r="O79" i="1"/>
  <c r="O83" i="1"/>
  <c r="N6" i="1"/>
  <c r="N10" i="1"/>
  <c r="N14" i="1"/>
  <c r="N18" i="1"/>
  <c r="N22" i="1"/>
  <c r="N26" i="1"/>
  <c r="N30" i="1"/>
  <c r="N34" i="1"/>
  <c r="N38" i="1"/>
  <c r="N42" i="1"/>
  <c r="N46" i="1"/>
  <c r="N50" i="1"/>
  <c r="N54" i="1"/>
  <c r="N58" i="1"/>
  <c r="N62" i="1"/>
  <c r="N66" i="1"/>
  <c r="N70" i="1"/>
  <c r="N74" i="1"/>
  <c r="N78" i="1"/>
  <c r="N82" i="1"/>
  <c r="M5" i="1"/>
  <c r="M9" i="1"/>
  <c r="M13" i="1"/>
  <c r="M17" i="1"/>
  <c r="M21" i="1"/>
  <c r="M25" i="1"/>
  <c r="M29" i="1"/>
  <c r="M33" i="1"/>
  <c r="M37" i="1"/>
  <c r="M41" i="1"/>
  <c r="M45" i="1"/>
  <c r="M49" i="1"/>
  <c r="M53" i="1"/>
  <c r="M57" i="1"/>
  <c r="M61" i="1"/>
  <c r="M65" i="1"/>
  <c r="M69" i="1"/>
  <c r="M73" i="1"/>
  <c r="M77" i="1"/>
  <c r="M81" i="1"/>
  <c r="L4" i="1"/>
  <c r="L8" i="1"/>
  <c r="L12" i="1"/>
  <c r="L16" i="1"/>
  <c r="P5" i="1"/>
  <c r="P9" i="1"/>
  <c r="P13" i="1"/>
  <c r="P17" i="1"/>
  <c r="P21" i="1"/>
  <c r="P25" i="1"/>
  <c r="P29" i="1"/>
  <c r="P33" i="1"/>
  <c r="P37" i="1"/>
  <c r="P41" i="1"/>
  <c r="P45" i="1"/>
  <c r="P49" i="1"/>
  <c r="P53" i="1"/>
  <c r="P57" i="1"/>
  <c r="P61" i="1"/>
  <c r="P65" i="1"/>
  <c r="P69" i="1"/>
  <c r="P73" i="1"/>
  <c r="P77" i="1"/>
  <c r="P81" i="1"/>
  <c r="O4" i="1"/>
  <c r="O8" i="1"/>
  <c r="O12" i="1"/>
  <c r="O16" i="1"/>
  <c r="O20" i="1"/>
  <c r="O24" i="1"/>
  <c r="O28" i="1"/>
  <c r="O32" i="1"/>
  <c r="O36" i="1"/>
  <c r="O40" i="1"/>
  <c r="O44" i="1"/>
  <c r="O48" i="1"/>
  <c r="O52" i="1"/>
  <c r="O56" i="1"/>
  <c r="O60" i="1"/>
  <c r="O64" i="1"/>
  <c r="O68" i="1"/>
  <c r="O72" i="1"/>
  <c r="O76" i="1"/>
  <c r="O80" i="1"/>
  <c r="N3" i="1"/>
  <c r="N7" i="1"/>
  <c r="N11" i="1"/>
  <c r="N15" i="1"/>
  <c r="N19" i="1"/>
  <c r="N23" i="1"/>
  <c r="N27" i="1"/>
  <c r="N31" i="1"/>
  <c r="N35" i="1"/>
  <c r="N39" i="1"/>
  <c r="P6" i="1"/>
  <c r="P10" i="1"/>
  <c r="P14" i="1"/>
  <c r="P18" i="1"/>
  <c r="P22" i="1"/>
  <c r="P26" i="1"/>
  <c r="P30" i="1"/>
  <c r="P34" i="1"/>
  <c r="P38" i="1"/>
  <c r="P42" i="1"/>
  <c r="P46" i="1"/>
  <c r="P50" i="1"/>
  <c r="P54" i="1"/>
  <c r="P58" i="1"/>
  <c r="P62" i="1"/>
  <c r="P66" i="1"/>
  <c r="P70" i="1"/>
  <c r="P74" i="1"/>
  <c r="P78" i="1"/>
  <c r="P82" i="1"/>
  <c r="O5" i="1"/>
  <c r="O9" i="1"/>
  <c r="O13" i="1"/>
  <c r="O17" i="1"/>
  <c r="O21" i="1"/>
  <c r="O25" i="1"/>
  <c r="O29" i="1"/>
  <c r="O33" i="1"/>
  <c r="O37" i="1"/>
  <c r="O41" i="1"/>
  <c r="O45" i="1"/>
  <c r="O49" i="1"/>
  <c r="O53" i="1"/>
  <c r="O57" i="1"/>
  <c r="O61" i="1"/>
  <c r="O65" i="1"/>
  <c r="O69" i="1"/>
  <c r="O73" i="1"/>
  <c r="O77" i="1"/>
  <c r="O81" i="1"/>
  <c r="N4" i="1"/>
  <c r="N8" i="1"/>
  <c r="N12" i="1"/>
  <c r="N16" i="1"/>
  <c r="N20" i="1"/>
  <c r="N24" i="1"/>
  <c r="N28" i="1"/>
  <c r="N32" i="1"/>
  <c r="N36" i="1"/>
  <c r="N40" i="1"/>
  <c r="N44" i="1"/>
  <c r="N48" i="1"/>
  <c r="N52" i="1"/>
  <c r="N56" i="1"/>
  <c r="N60" i="1"/>
  <c r="N64" i="1"/>
  <c r="N68" i="1"/>
  <c r="N72" i="1"/>
  <c r="N76" i="1"/>
  <c r="N80" i="1"/>
  <c r="M3" i="1"/>
  <c r="M7" i="1"/>
  <c r="M11" i="1"/>
  <c r="M15" i="1"/>
  <c r="M19" i="1"/>
  <c r="M23" i="1"/>
  <c r="M27" i="1"/>
  <c r="M31" i="1"/>
  <c r="M35" i="1"/>
  <c r="P3" i="1"/>
  <c r="P7" i="1"/>
  <c r="P11" i="1"/>
  <c r="P15" i="1"/>
  <c r="P19" i="1"/>
  <c r="P23" i="1"/>
  <c r="P27" i="1"/>
  <c r="P31" i="1"/>
  <c r="P35" i="1"/>
  <c r="P39" i="1"/>
  <c r="P43" i="1"/>
  <c r="P47" i="1"/>
  <c r="P51" i="1"/>
  <c r="P55" i="1"/>
  <c r="P59" i="1"/>
  <c r="P63" i="1"/>
  <c r="P67" i="1"/>
  <c r="P71" i="1"/>
  <c r="P75" i="1"/>
  <c r="P79" i="1"/>
  <c r="P83" i="1"/>
  <c r="O6" i="1"/>
  <c r="O10" i="1"/>
  <c r="O14" i="1"/>
  <c r="O18" i="1"/>
  <c r="O22" i="1"/>
  <c r="O26" i="1"/>
  <c r="O30" i="1"/>
  <c r="O34" i="1"/>
  <c r="O38" i="1"/>
  <c r="O42" i="1"/>
  <c r="O46" i="1"/>
  <c r="O50" i="1"/>
  <c r="O54" i="1"/>
  <c r="O58" i="1"/>
  <c r="O62" i="1"/>
  <c r="O66" i="1"/>
  <c r="O70" i="1"/>
  <c r="O74" i="1"/>
  <c r="O78" i="1"/>
  <c r="O82" i="1"/>
  <c r="N5" i="1"/>
  <c r="N9" i="1"/>
  <c r="N13" i="1"/>
  <c r="N17" i="1"/>
  <c r="N21" i="1"/>
  <c r="N25" i="1"/>
  <c r="N29" i="1"/>
  <c r="N33" i="1"/>
  <c r="N37" i="1"/>
  <c r="N41" i="1"/>
  <c r="N45" i="1"/>
  <c r="N49" i="1"/>
  <c r="N53" i="1"/>
  <c r="N57" i="1"/>
  <c r="N61" i="1"/>
  <c r="N65" i="1"/>
  <c r="N69" i="1"/>
  <c r="N73" i="1"/>
  <c r="N77" i="1"/>
  <c r="N81" i="1"/>
  <c r="M4" i="1"/>
  <c r="M8" i="1"/>
  <c r="M12" i="1"/>
  <c r="M16" i="1"/>
  <c r="J80" i="1"/>
  <c r="J76" i="1"/>
  <c r="J72" i="1"/>
  <c r="J68" i="1"/>
  <c r="J64" i="1"/>
  <c r="J60" i="1"/>
  <c r="J56" i="1"/>
  <c r="J52" i="1"/>
  <c r="J48" i="1"/>
  <c r="J44" i="1"/>
  <c r="J40" i="1"/>
  <c r="J36" i="1"/>
  <c r="J32" i="1"/>
  <c r="J28" i="1"/>
  <c r="J24" i="1"/>
  <c r="J20" i="1"/>
  <c r="J16" i="1"/>
  <c r="J12" i="1"/>
  <c r="J8" i="1"/>
  <c r="J4" i="1"/>
  <c r="K81" i="1"/>
  <c r="K77" i="1"/>
  <c r="K73" i="1"/>
  <c r="K69" i="1"/>
  <c r="K65" i="1"/>
  <c r="K61" i="1"/>
  <c r="K57" i="1"/>
  <c r="K53" i="1"/>
  <c r="K49" i="1"/>
  <c r="K45" i="1"/>
  <c r="K41" i="1"/>
  <c r="K37" i="1"/>
  <c r="K33" i="1"/>
  <c r="K29" i="1"/>
  <c r="K25" i="1"/>
  <c r="K21" i="1"/>
  <c r="K17" i="1"/>
  <c r="K13" i="1"/>
  <c r="K9" i="1"/>
  <c r="K5" i="1"/>
  <c r="L82" i="1"/>
  <c r="L78" i="1"/>
  <c r="L74" i="1"/>
  <c r="L70" i="1"/>
  <c r="L66" i="1"/>
  <c r="L62" i="1"/>
  <c r="L58" i="1"/>
  <c r="L54" i="1"/>
  <c r="L50" i="1"/>
  <c r="L46" i="1"/>
  <c r="L42" i="1"/>
  <c r="L38" i="1"/>
  <c r="L34" i="1"/>
  <c r="L30" i="1"/>
  <c r="L26" i="1"/>
  <c r="L22" i="1"/>
  <c r="L18" i="1"/>
  <c r="L13" i="1"/>
  <c r="L7" i="1"/>
  <c r="M83" i="1"/>
  <c r="M78" i="1"/>
  <c r="M72" i="1"/>
  <c r="M67" i="1"/>
  <c r="M62" i="1"/>
  <c r="M56" i="1"/>
  <c r="M51" i="1"/>
  <c r="M46" i="1"/>
  <c r="M40" i="1"/>
  <c r="M34" i="1"/>
  <c r="M26" i="1"/>
  <c r="M18" i="1"/>
  <c r="N83" i="1"/>
  <c r="N67" i="1"/>
  <c r="N51" i="1"/>
  <c r="K83" i="1"/>
  <c r="K71" i="1"/>
  <c r="K59" i="1"/>
  <c r="K47" i="1"/>
  <c r="K35" i="1"/>
  <c r="K23" i="1"/>
  <c r="K11" i="1"/>
  <c r="L80" i="1"/>
  <c r="L68" i="1"/>
  <c r="L56" i="1"/>
  <c r="L48" i="1"/>
  <c r="L36" i="1"/>
  <c r="L20" i="1"/>
  <c r="J83" i="1"/>
  <c r="J79" i="1"/>
  <c r="J75" i="1"/>
  <c r="J71" i="1"/>
  <c r="J67" i="1"/>
  <c r="J63" i="1"/>
  <c r="J59" i="1"/>
  <c r="J55" i="1"/>
  <c r="J51" i="1"/>
  <c r="J47" i="1"/>
  <c r="J43" i="1"/>
  <c r="J39" i="1"/>
  <c r="J35" i="1"/>
  <c r="J31" i="1"/>
  <c r="J27" i="1"/>
  <c r="J23" i="1"/>
  <c r="J19" i="1"/>
  <c r="J15" i="1"/>
  <c r="J11" i="1"/>
  <c r="J7" i="1"/>
  <c r="K80" i="1"/>
  <c r="K76" i="1"/>
  <c r="K72" i="1"/>
  <c r="K68" i="1"/>
  <c r="K64" i="1"/>
  <c r="K60" i="1"/>
  <c r="K56" i="1"/>
  <c r="K52" i="1"/>
  <c r="K48" i="1"/>
  <c r="K44" i="1"/>
  <c r="K40" i="1"/>
  <c r="K36" i="1"/>
  <c r="K32" i="1"/>
  <c r="K28" i="1"/>
  <c r="K24" i="1"/>
  <c r="K20" i="1"/>
  <c r="K16" i="1"/>
  <c r="K12" i="1"/>
  <c r="K8" i="1"/>
  <c r="K4" i="1"/>
  <c r="L81" i="1"/>
  <c r="L77" i="1"/>
  <c r="L73" i="1"/>
  <c r="L69" i="1"/>
  <c r="L65" i="1"/>
  <c r="L61" i="1"/>
  <c r="L57" i="1"/>
  <c r="L53" i="1"/>
  <c r="L49" i="1"/>
  <c r="L45" i="1"/>
  <c r="L41" i="1"/>
  <c r="L37" i="1"/>
  <c r="L33" i="1"/>
  <c r="L29" i="1"/>
  <c r="L25" i="1"/>
  <c r="L21" i="1"/>
  <c r="L17" i="1"/>
  <c r="L11" i="1"/>
  <c r="L6" i="1"/>
  <c r="M82" i="1"/>
  <c r="M76" i="1"/>
  <c r="M71" i="1"/>
  <c r="M66" i="1"/>
  <c r="M60" i="1"/>
  <c r="M55" i="1"/>
  <c r="M50" i="1"/>
  <c r="M44" i="1"/>
  <c r="M39" i="1"/>
  <c r="M32" i="1"/>
  <c r="M24" i="1"/>
  <c r="M14" i="1"/>
  <c r="N79" i="1"/>
  <c r="N63" i="1"/>
  <c r="N47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3EE8AC7-9FC9-48E0-B8B9-8F8112DAFBFB}" keepAlive="1" name="ModelConnection_ExternalData_1" description="Data Model" type="5" refreshedVersion="8" minRefreshableVersion="5" saveData="1">
    <dbPr connection="Data Model Connection" command="budget_v1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BD9D47C9-D3A3-4AE6-8166-C0105C9DC8DC}" keepAlive="1" name="ModelConnection_ExternalData_2" description="Data Model" type="5" refreshedVersion="8" minRefreshableVersion="5" saveData="1">
    <dbPr connection="Data Model Connection" command="budget_v2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DBB7B6BB-0B58-4D46-B7AC-BCC1D31964B5}" keepAlive="1" name="ModelConnection_ExternalData_3" description="Data Model" type="5" refreshedVersion="8" minRefreshableVersion="5" saveData="1">
    <dbPr connection="Data Model Connection" command="budget_v3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D839817E-1D67-4441-9D12-56DB2666A47F}" name="Query - budget_v1" description="Connection to the 'budget_v1' query in the workbook." type="100" refreshedVersion="8" minRefreshableVersion="5">
    <extLst>
      <ext xmlns:x15="http://schemas.microsoft.com/office/spreadsheetml/2010/11/main" uri="{DE250136-89BD-433C-8126-D09CA5730AF9}">
        <x15:connection id="c33e952d-c53d-4989-82f8-684c032cf5d2"/>
      </ext>
    </extLst>
  </connection>
  <connection id="5" xr16:uid="{39C01A38-26FB-418A-B8F9-48A5111DA161}" name="Query - budget_v2" description="Connection to the 'budget_v2' query in the workbook." type="100" refreshedVersion="8" minRefreshableVersion="5">
    <extLst>
      <ext xmlns:x15="http://schemas.microsoft.com/office/spreadsheetml/2010/11/main" uri="{DE250136-89BD-433C-8126-D09CA5730AF9}">
        <x15:connection id="5bfb6e01-2e9d-4651-a885-7c4ccaff9b14"/>
      </ext>
    </extLst>
  </connection>
  <connection id="6" xr16:uid="{28D5A0B5-0A1A-4594-B2E7-D4FC88DE3335}" name="Query - budget_v3" description="Connection to the 'budget_v3' query in the workbook." type="100" refreshedVersion="8" minRefreshableVersion="5">
    <extLst>
      <ext xmlns:x15="http://schemas.microsoft.com/office/spreadsheetml/2010/11/main" uri="{DE250136-89BD-433C-8126-D09CA5730AF9}">
        <x15:connection id="f45ebe1f-43cf-45df-81f0-e7553e48c867"/>
      </ext>
    </extLst>
  </connection>
  <connection id="7" xr16:uid="{1CF94A60-5E65-4445-889D-1DFDA86C4FA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<sst xmlns="http://schemas.openxmlformats.org/spreadsheetml/2006/main" count="256" uniqueCount="66">
  <si>
    <t>WBS</t>
  </si>
  <si>
    <t>Description</t>
  </si>
  <si>
    <t>Qty</t>
  </si>
  <si>
    <t>UOM</t>
  </si>
  <si>
    <t>Unit Cost</t>
  </si>
  <si>
    <t>Extended Cost</t>
  </si>
  <si>
    <t>1.1</t>
  </si>
  <si>
    <t>01 00 00 - General Requirements</t>
  </si>
  <si>
    <t>1.1.1</t>
  </si>
  <si>
    <t>Mobilization &amp; Site Staging</t>
  </si>
  <si>
    <t>ls</t>
  </si>
  <si>
    <t>1.1.2</t>
  </si>
  <si>
    <t>Building access</t>
  </si>
  <si>
    <t>1.2</t>
  </si>
  <si>
    <t>02 00 00 - Existing Conditions</t>
  </si>
  <si>
    <t>1.2.1</t>
  </si>
  <si>
    <t>Remove &amp; discard stucco system</t>
  </si>
  <si>
    <t>sy</t>
  </si>
  <si>
    <t>1.2.2</t>
  </si>
  <si>
    <t>Remove ACM panels</t>
  </si>
  <si>
    <t>sf</t>
  </si>
  <si>
    <t>1.2.3</t>
  </si>
  <si>
    <t>Remove parpet coping cap</t>
  </si>
  <si>
    <t>lf</t>
  </si>
  <si>
    <t>1.2.4</t>
  </si>
  <si>
    <t>Remove &amp; discard DensGlass sheathing</t>
  </si>
  <si>
    <t>1.4</t>
  </si>
  <si>
    <t>07 00 00 - Thermal &amp; Moisture Protection</t>
  </si>
  <si>
    <t>1.4.1</t>
  </si>
  <si>
    <t>Replace DensGlass sheathing</t>
  </si>
  <si>
    <t>1.4.2</t>
  </si>
  <si>
    <t>Apply fluild-applied air &amp; vapor barrier</t>
  </si>
  <si>
    <t>1.4.3</t>
  </si>
  <si>
    <t>Install drip edge head flashings</t>
  </si>
  <si>
    <t>1.4.4</t>
  </si>
  <si>
    <t>Install perimeter metal flashings around curtain wall</t>
  </si>
  <si>
    <t>1.4.5</t>
  </si>
  <si>
    <t>Install new perimeter T-Flashing</t>
  </si>
  <si>
    <t>1.4.6</t>
  </si>
  <si>
    <t>Counter flashing T-Flashing</t>
  </si>
  <si>
    <t>1.4.7</t>
  </si>
  <si>
    <t>Apply primary &amp; secondary sealants per original project specifications</t>
  </si>
  <si>
    <t>1.4.8</t>
  </si>
  <si>
    <t>Replace ACM panels</t>
  </si>
  <si>
    <t>1.4.9</t>
  </si>
  <si>
    <t>Repalce parapet coping cap</t>
  </si>
  <si>
    <t>1.5</t>
  </si>
  <si>
    <t>08 00 00 - Openings</t>
  </si>
  <si>
    <t>1.5.1</t>
  </si>
  <si>
    <t>Remove &amp; replace glazed door assemblies</t>
  </si>
  <si>
    <t>ea</t>
  </si>
  <si>
    <t>1.5.2</t>
  </si>
  <si>
    <t>Install exterior door sweeps</t>
  </si>
  <si>
    <t>1.5.3</t>
  </si>
  <si>
    <t>Adjust doors</t>
  </si>
  <si>
    <t>1.5.4</t>
  </si>
  <si>
    <t>Install window &amp; glazing sealants</t>
  </si>
  <si>
    <t>1.6</t>
  </si>
  <si>
    <t>09 00 00 - Finishes</t>
  </si>
  <si>
    <t>1.6.1</t>
  </si>
  <si>
    <t>Install stucco paper &amp; lath</t>
  </si>
  <si>
    <t>1.6.2</t>
  </si>
  <si>
    <t>Install stucco system per orignal project specifications</t>
  </si>
  <si>
    <t>1.6.3</t>
  </si>
  <si>
    <t>Prime and paint stucco per orignal project specifications</t>
  </si>
  <si>
    <t>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</si>
</sst>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/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 style="thin">
        <color theme="9" tint="0.39997558519241921"/>
      </right>
      <top/>
      <bottom style="thin">
        <color theme="9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</cellXfs>
  <cellStyles count="1">
    <cellStyle name="Normal" xfId="0" builtinId="0"/>
  </cellStyles>
  <dxfs count="2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2.xml"/><Relationship Id="rId18" Type="http://schemas.openxmlformats.org/officeDocument/2006/relationships/customXml" Target="../customXml/item7.xml"/><Relationship Id="rId26" Type="http://schemas.openxmlformats.org/officeDocument/2006/relationships/customXml" Target="../customXml/item15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0.xml"/><Relationship Id="rId7" Type="http://schemas.openxmlformats.org/officeDocument/2006/relationships/styles" Target="styles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5" Type="http://schemas.openxmlformats.org/officeDocument/2006/relationships/customXml" Target="../customXml/item1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20" Type="http://schemas.openxmlformats.org/officeDocument/2006/relationships/customXml" Target="../customXml/item9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alcChain" Target="calcChain.xml"/><Relationship Id="rId24" Type="http://schemas.openxmlformats.org/officeDocument/2006/relationships/customXml" Target="../customXml/item13.xml"/><Relationship Id="rId5" Type="http://schemas.openxmlformats.org/officeDocument/2006/relationships/theme" Target="theme/theme1.xml"/><Relationship Id="rId15" Type="http://schemas.openxmlformats.org/officeDocument/2006/relationships/customXml" Target="../customXml/item4.xml"/><Relationship Id="rId23" Type="http://schemas.openxmlformats.org/officeDocument/2006/relationships/customXml" Target="../customXml/item12.xml"/><Relationship Id="rId28" Type="http://schemas.openxmlformats.org/officeDocument/2006/relationships/customXml" Target="../customXml/item17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8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3.xml"/><Relationship Id="rId22" Type="http://schemas.openxmlformats.org/officeDocument/2006/relationships/customXml" Target="../customXml/item11.xml"/><Relationship Id="rId27" Type="http://schemas.openxmlformats.org/officeDocument/2006/relationships/customXml" Target="../customXml/item16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7952C3D3-E209-4353-8F35-5E0D820DC660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WBS" tableColumnId="1"/>
      <queryTableField id="2" name="Description" tableColumnId="2"/>
      <queryTableField id="3" name="Qty" tableColumnId="3"/>
      <queryTableField id="4" name="UOM" tableColumnId="4"/>
      <queryTableField id="5" name="Unit Cost" tableColumnId="5"/>
      <queryTableField id="6" name="Extended Cost" tableColumnId="6"/>
      <queryTableField id="7" dataBound="0" tableColumnId="7"/>
    </queryTableFields>
  </queryTableRefresh>
  <extLst>
    <ext xmlns:x15="http://schemas.microsoft.com/office/spreadsheetml/2010/11/main" uri="{883FBD77-0823-4a55-B5E3-86C4891E6966}">
      <x15:queryTable sourceDataName="Query - budget_v1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2" xr16:uid="{C4E3B6C4-4300-4A42-A5E1-58D188BB18D4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WBS" tableColumnId="1"/>
      <queryTableField id="2" name="Description" tableColumnId="2"/>
      <queryTableField id="3" name="Qty" tableColumnId="3"/>
      <queryTableField id="4" name="UOM" tableColumnId="4"/>
      <queryTableField id="5" name="Unit Cost" tableColumnId="5"/>
      <queryTableField id="6" name="Extended Cost" tableColumnId="6"/>
      <queryTableField id="7" dataBound="0" tableColumnId="7"/>
    </queryTableFields>
  </queryTableRefresh>
  <extLst>
    <ext xmlns:x15="http://schemas.microsoft.com/office/spreadsheetml/2010/11/main" uri="{883FBD77-0823-4a55-B5E3-86C4891E6966}">
      <x15:queryTable sourceDataName="Query - budget_v2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3" xr16:uid="{5A22E9CE-8202-45DE-92FB-BC169F0030E9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WBS" tableColumnId="1"/>
      <queryTableField id="2" name="Description" tableColumnId="2"/>
      <queryTableField id="3" name="Qty" tableColumnId="3"/>
      <queryTableField id="4" name="UOM" tableColumnId="4"/>
      <queryTableField id="5" name="Unit Cost" tableColumnId="5"/>
      <queryTableField id="6" name="Extended Cost" tableColumnId="6"/>
      <queryTableField id="7" dataBound="0" tableColumnId="7"/>
    </queryTableFields>
  </queryTableRefresh>
  <extLst>
    <ext xmlns:x15="http://schemas.microsoft.com/office/spreadsheetml/2010/11/main" uri="{883FBD77-0823-4a55-B5E3-86C4891E6966}">
      <x15:queryTable sourceDataName="Query - budget_v3"/>
    </ext>
  </extLst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1C533E6-FC9D-4A15-9467-F924B0E4575C}" name="budget_ribbon" displayName="budget_ribbon" ref="J2:P83" totalsRowShown="0" headerRowDxfId="21" headerRowBorderDxfId="20" tableBorderDxfId="19">
  <autoFilter ref="J2:P83" xr:uid="{71C533E6-FC9D-4A15-9467-F924B0E4575C}"/>
  <tableColumns count="7">
    <tableColumn id="1" xr3:uid="{12AFC81D-039B-4A4F-BEC8-8B301FDB917A}" name="WBS" dataDxfId="18">
      <calculatedColumnFormula>B3</calculatedColumnFormula>
    </tableColumn>
    <tableColumn id="2" xr3:uid="{E5F31FA3-E107-4F17-A56A-D571EB157223}" name="Description" dataDxfId="17">
      <calculatedColumnFormula>C3</calculatedColumnFormula>
    </tableColumn>
    <tableColumn id="3" xr3:uid="{B5ACC9B3-1C17-4D52-AAD7-93AC4E595013}" name="Qty" dataDxfId="16">
      <calculatedColumnFormula>D3</calculatedColumnFormula>
    </tableColumn>
    <tableColumn id="4" xr3:uid="{1503B19C-8823-44AF-9123-10A688DB7703}" name="UOM" dataDxfId="15">
      <calculatedColumnFormula>E3</calculatedColumnFormula>
    </tableColumn>
    <tableColumn id="5" xr3:uid="{264F09B2-A129-4C07-95BB-F639845D0037}" name="Unit Cost" dataDxfId="14">
      <calculatedColumnFormula>F3</calculatedColumnFormula>
    </tableColumn>
    <tableColumn id="6" xr3:uid="{419F2AEF-0B46-406B-9930-199CDF7EF7DC}" name="Extended Cost" dataDxfId="13">
      <calculatedColumnFormula>G3</calculatedColumnFormula>
    </tableColumn>
    <tableColumn id="7" xr3:uid="{99DA775D-3089-4284-86BA-81B3C21F3089}" name="Budget" dataDxfId="12">
      <calculatedColumnFormula>H3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A6D701-9A0B-43DD-B724-F0B5B05BDA39}" name="budget_v1" displayName="budget_v1" ref="A1:G28" tableType="queryTable" totalsRowShown="0">
  <autoFilter ref="A1:G28" xr:uid="{BAA6D701-9A0B-43DD-B724-F0B5B05BDA39}"/>
  <tableColumns count="7">
    <tableColumn id="1" xr3:uid="{2F56D915-672D-4EA9-99A4-69504BDE8541}" uniqueName="1" name="WBS" queryTableFieldId="1" dataDxfId="11"/>
    <tableColumn id="2" xr3:uid="{2B4F9269-E983-4186-9BF9-7F94AC3D9F91}" uniqueName="2" name="Description" queryTableFieldId="2" dataDxfId="10"/>
    <tableColumn id="3" xr3:uid="{9AF04EAF-7213-499F-80DF-1CBCD852CA29}" uniqueName="3" name="Qty" queryTableFieldId="3"/>
    <tableColumn id="4" xr3:uid="{52005CD1-218A-45C0-A6DD-14316F814731}" uniqueName="4" name="UOM" queryTableFieldId="4" dataDxfId="9"/>
    <tableColumn id="5" xr3:uid="{859EA8AB-26DB-443A-AF0E-CBDE478B5AA5}" uniqueName="5" name="Unit Cost" queryTableFieldId="5"/>
    <tableColumn id="6" xr3:uid="{2BFBB2BB-6DFF-40A1-9A0D-E7FF9668DD2C}" uniqueName="6" name="Extended Cost" queryTableFieldId="6"/>
    <tableColumn id="7" xr3:uid="{00437D3C-4FDA-4213-8E53-B9E1880D8DC1}" uniqueName="7" name="Budget" queryTableFieldId="7" dataDxfId="8">
      <calculatedColumnFormula>"V1"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7310291-AEDC-4CFE-AAD6-40200CD48814}" name="budget_v2" displayName="budget_v2" ref="A1:G28" tableType="queryTable" totalsRowShown="0">
  <autoFilter ref="A1:G28" xr:uid="{17310291-AEDC-4CFE-AAD6-40200CD48814}"/>
  <tableColumns count="7">
    <tableColumn id="1" xr3:uid="{87625D04-0119-415E-B06C-7B0D33A87B50}" uniqueName="1" name="WBS" queryTableFieldId="1" dataDxfId="7"/>
    <tableColumn id="2" xr3:uid="{9D3201BD-D226-459F-A7FA-CB3BCA205F76}" uniqueName="2" name="Description" queryTableFieldId="2" dataDxfId="6"/>
    <tableColumn id="3" xr3:uid="{9787C867-5113-434C-A04F-17632180F621}" uniqueName="3" name="Qty" queryTableFieldId="3"/>
    <tableColumn id="4" xr3:uid="{9DBE02C9-88D8-4882-86E6-ED59AA4FB1F2}" uniqueName="4" name="UOM" queryTableFieldId="4" dataDxfId="5"/>
    <tableColumn id="5" xr3:uid="{421CF079-CB8A-481A-BD57-A14B4730FF40}" uniqueName="5" name="Unit Cost" queryTableFieldId="5"/>
    <tableColumn id="6" xr3:uid="{8343AB7E-196C-4207-A0ED-7BA20A4521BA}" uniqueName="6" name="Extended Cost" queryTableFieldId="6"/>
    <tableColumn id="7" xr3:uid="{630084E3-A96D-4D04-BA14-94B07B0F36C7}" uniqueName="7" name="Budget" queryTableFieldId="7" dataDxfId="4">
      <calculatedColumnFormula>"V2"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FBA6733-3A30-4D2B-90F5-610EB5A56C4B}" name="budget_v3" displayName="budget_v3" ref="A1:G28" tableType="queryTable" totalsRowShown="0">
  <autoFilter ref="A1:G28" xr:uid="{1FBA6733-3A30-4D2B-90F5-610EB5A56C4B}"/>
  <tableColumns count="7">
    <tableColumn id="1" xr3:uid="{5946D427-F624-4CF4-A4E7-1B041B8DFB1C}" uniqueName="1" name="WBS" queryTableFieldId="1" dataDxfId="3"/>
    <tableColumn id="2" xr3:uid="{D9C2480D-D494-40E8-AE0F-9881EF81B7DB}" uniqueName="2" name="Description" queryTableFieldId="2" dataDxfId="2"/>
    <tableColumn id="3" xr3:uid="{B6BDDBE8-F2C9-4050-9A7A-F2152BAEE74D}" uniqueName="3" name="Qty" queryTableFieldId="3"/>
    <tableColumn id="4" xr3:uid="{3A21D966-7380-457D-895E-51ABED0100FF}" uniqueName="4" name="UOM" queryTableFieldId="4" dataDxfId="1"/>
    <tableColumn id="5" xr3:uid="{2F8FB658-B7D3-43F0-ADD7-4C1378465657}" uniqueName="5" name="Unit Cost" queryTableFieldId="5"/>
    <tableColumn id="6" xr3:uid="{176B579F-6D55-4CBA-A841-D0A3793D38FD}" uniqueName="6" name="Extended Cost" queryTableFieldId="6"/>
    <tableColumn id="7" xr3:uid="{0AD686B9-E766-4D40-BB06-4201DE8513A6}" uniqueName="7" name="Budget" queryTableFieldId="7" dataDxfId="0">
      <calculatedColumnFormula>"V3"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83"/>
  <sheetViews>
    <sheetView tabSelected="1" workbookViewId="0">
      <selection activeCell="T3" sqref="T3"/>
    </sheetView>
  </sheetViews>
  <sheetFormatPr defaultRowHeight="14.25" x14ac:dyDescent="0.45"/>
  <cols>
    <col min="2" max="8" width="0" hidden="1" customWidth="1"/>
    <col min="11" max="11" width="11.86328125" customWidth="1"/>
    <col min="14" max="14" width="10.06640625" customWidth="1"/>
    <col min="15" max="15" width="14.265625" customWidth="1"/>
  </cols>
  <sheetData>
    <row r="2" spans="2:16" x14ac:dyDescent="0.45">
      <c r="J2" s="1" t="s">
        <v>0</v>
      </c>
      <c r="K2" s="2" t="s">
        <v>1</v>
      </c>
      <c r="L2" s="2" t="s">
        <v>2</v>
      </c>
      <c r="M2" s="2" t="s">
        <v>3</v>
      </c>
      <c r="N2" s="2" t="s">
        <v>4</v>
      </c>
      <c r="O2" s="2" t="s">
        <v>5</v>
      </c>
      <c r="P2" s="3" t="s">
        <v>65</v>
      </c>
    </row>
    <row r="3" spans="2:16" x14ac:dyDescent="0.45">
      <c r="B3" t="str" cm="1">
        <f t="array" ref="B3:H83">_xlfn.VSTACK(budget_v1[], budget_v2[], budget_v3[])</f>
        <v>1.1</v>
      </c>
      <c r="C3" t="str">
        <v>01 00 00 - General Requirements</v>
      </c>
      <c r="D3">
        <v>0</v>
      </c>
      <c r="E3">
        <v>0</v>
      </c>
      <c r="F3">
        <v>0</v>
      </c>
      <c r="G3">
        <v>891359.4550131408</v>
      </c>
      <c r="H3" t="str">
        <v>V1</v>
      </c>
      <c r="J3" t="str">
        <f t="shared" ref="J3:J34" si="0">B3</f>
        <v>1.1</v>
      </c>
      <c r="K3" t="str">
        <f t="shared" ref="K3:K34" si="1">C3</f>
        <v>01 00 00 - General Requirements</v>
      </c>
      <c r="L3">
        <f t="shared" ref="L3:L34" si="2">D3</f>
        <v>0</v>
      </c>
      <c r="M3">
        <f t="shared" ref="M3:M34" si="3">E3</f>
        <v>0</v>
      </c>
      <c r="N3">
        <f t="shared" ref="N3:N34" si="4">F3</f>
        <v>0</v>
      </c>
      <c r="O3">
        <f t="shared" ref="O3:O34" si="5">G3</f>
        <v>891359.4550131408</v>
      </c>
      <c r="P3" t="str">
        <f t="shared" ref="P3:P34" si="6">H3</f>
        <v>V1</v>
      </c>
    </row>
    <row r="4" spans="2:16" x14ac:dyDescent="0.45">
      <c r="B4" t="str">
        <v>1.1.1</v>
      </c>
      <c r="C4" t="str">
        <v>Mobilization &amp; Site Staging</v>
      </c>
      <c r="D4">
        <v>1</v>
      </c>
      <c r="E4" t="str">
        <v>ls</v>
      </c>
      <c r="F4">
        <v>321903.43430188828</v>
      </c>
      <c r="G4">
        <v>321903.43430188828</v>
      </c>
      <c r="H4" t="str">
        <v>V1</v>
      </c>
      <c r="J4" t="str">
        <f t="shared" si="0"/>
        <v>1.1.1</v>
      </c>
      <c r="K4" t="str">
        <f t="shared" si="1"/>
        <v>Mobilization &amp; Site Staging</v>
      </c>
      <c r="L4">
        <f t="shared" si="2"/>
        <v>1</v>
      </c>
      <c r="M4" t="str">
        <f t="shared" si="3"/>
        <v>ls</v>
      </c>
      <c r="N4">
        <f t="shared" si="4"/>
        <v>321903.43430188828</v>
      </c>
      <c r="O4">
        <f t="shared" si="5"/>
        <v>321903.43430188828</v>
      </c>
      <c r="P4" t="str">
        <f t="shared" si="6"/>
        <v>V1</v>
      </c>
    </row>
    <row r="5" spans="2:16" x14ac:dyDescent="0.45">
      <c r="B5" t="str">
        <v>1.1.2</v>
      </c>
      <c r="C5" t="str">
        <v>Building access</v>
      </c>
      <c r="D5">
        <v>1</v>
      </c>
      <c r="E5" t="str">
        <v>ls</v>
      </c>
      <c r="F5">
        <v>569456.02071125247</v>
      </c>
      <c r="G5">
        <v>569456.02071125247</v>
      </c>
      <c r="H5" t="str">
        <v>V1</v>
      </c>
      <c r="J5" t="str">
        <f t="shared" si="0"/>
        <v>1.1.2</v>
      </c>
      <c r="K5" t="str">
        <f t="shared" si="1"/>
        <v>Building access</v>
      </c>
      <c r="L5">
        <f t="shared" si="2"/>
        <v>1</v>
      </c>
      <c r="M5" t="str">
        <f t="shared" si="3"/>
        <v>ls</v>
      </c>
      <c r="N5">
        <f t="shared" si="4"/>
        <v>569456.02071125247</v>
      </c>
      <c r="O5">
        <f t="shared" si="5"/>
        <v>569456.02071125247</v>
      </c>
      <c r="P5" t="str">
        <f t="shared" si="6"/>
        <v>V1</v>
      </c>
    </row>
    <row r="6" spans="2:16" x14ac:dyDescent="0.45">
      <c r="B6" t="str">
        <v>1.2</v>
      </c>
      <c r="C6" t="str">
        <v>02 00 00 - Existing Conditions</v>
      </c>
      <c r="D6">
        <v>0</v>
      </c>
      <c r="E6">
        <v>0</v>
      </c>
      <c r="F6">
        <v>0</v>
      </c>
      <c r="G6">
        <v>1338020.3383071106</v>
      </c>
      <c r="H6" t="str">
        <v>V1</v>
      </c>
      <c r="J6" t="str">
        <f t="shared" si="0"/>
        <v>1.2</v>
      </c>
      <c r="K6" t="str">
        <f t="shared" si="1"/>
        <v>02 00 00 - Existing Conditions</v>
      </c>
      <c r="L6">
        <f t="shared" si="2"/>
        <v>0</v>
      </c>
      <c r="M6">
        <f t="shared" si="3"/>
        <v>0</v>
      </c>
      <c r="N6">
        <f t="shared" si="4"/>
        <v>0</v>
      </c>
      <c r="O6">
        <f t="shared" si="5"/>
        <v>1338020.3383071106</v>
      </c>
      <c r="P6" t="str">
        <f t="shared" si="6"/>
        <v>V1</v>
      </c>
    </row>
    <row r="7" spans="2:16" x14ac:dyDescent="0.45">
      <c r="B7" t="str">
        <v>1.2.1</v>
      </c>
      <c r="C7" t="str">
        <v>Remove &amp; discard stucco system</v>
      </c>
      <c r="D7">
        <v>6109</v>
      </c>
      <c r="E7" t="str">
        <v>sy</v>
      </c>
      <c r="F7">
        <v>94.809303333695624</v>
      </c>
      <c r="G7">
        <v>579190.03406554658</v>
      </c>
      <c r="H7" t="str">
        <v>V1</v>
      </c>
      <c r="J7" t="str">
        <f t="shared" si="0"/>
        <v>1.2.1</v>
      </c>
      <c r="K7" t="str">
        <f t="shared" si="1"/>
        <v>Remove &amp; discard stucco system</v>
      </c>
      <c r="L7">
        <f t="shared" si="2"/>
        <v>6109</v>
      </c>
      <c r="M7" t="str">
        <f t="shared" si="3"/>
        <v>sy</v>
      </c>
      <c r="N7">
        <f t="shared" si="4"/>
        <v>94.809303333695624</v>
      </c>
      <c r="O7">
        <f t="shared" si="5"/>
        <v>579190.03406554658</v>
      </c>
      <c r="P7" t="str">
        <f t="shared" si="6"/>
        <v>V1</v>
      </c>
    </row>
    <row r="8" spans="2:16" x14ac:dyDescent="0.45">
      <c r="B8" t="str">
        <v>1.2.2</v>
      </c>
      <c r="C8" t="str">
        <v>Remove ACM panels</v>
      </c>
      <c r="D8">
        <v>7362</v>
      </c>
      <c r="E8" t="str">
        <v>sf</v>
      </c>
      <c r="F8">
        <v>10.759055409501517</v>
      </c>
      <c r="G8">
        <v>79208.165924750167</v>
      </c>
      <c r="H8" t="str">
        <v>V1</v>
      </c>
      <c r="J8" t="str">
        <f t="shared" si="0"/>
        <v>1.2.2</v>
      </c>
      <c r="K8" t="str">
        <f t="shared" si="1"/>
        <v>Remove ACM panels</v>
      </c>
      <c r="L8">
        <f t="shared" si="2"/>
        <v>7362</v>
      </c>
      <c r="M8" t="str">
        <f t="shared" si="3"/>
        <v>sf</v>
      </c>
      <c r="N8">
        <f t="shared" si="4"/>
        <v>10.759055409501517</v>
      </c>
      <c r="O8">
        <f t="shared" si="5"/>
        <v>79208.165924750167</v>
      </c>
      <c r="P8" t="str">
        <f t="shared" si="6"/>
        <v>V1</v>
      </c>
    </row>
    <row r="9" spans="2:16" x14ac:dyDescent="0.45">
      <c r="B9" t="str">
        <v>1.2.3</v>
      </c>
      <c r="C9" t="str">
        <v>Remove parpet coping cap</v>
      </c>
      <c r="D9">
        <v>2250</v>
      </c>
      <c r="E9" t="str">
        <v>lf</v>
      </c>
      <c r="F9">
        <v>11.495412642392717</v>
      </c>
      <c r="G9">
        <v>25864.678445383612</v>
      </c>
      <c r="H9" t="str">
        <v>V1</v>
      </c>
      <c r="J9" t="str">
        <f t="shared" si="0"/>
        <v>1.2.3</v>
      </c>
      <c r="K9" t="str">
        <f t="shared" si="1"/>
        <v>Remove parpet coping cap</v>
      </c>
      <c r="L9">
        <f t="shared" si="2"/>
        <v>2250</v>
      </c>
      <c r="M9" t="str">
        <f t="shared" si="3"/>
        <v>lf</v>
      </c>
      <c r="N9">
        <f t="shared" si="4"/>
        <v>11.495412642392717</v>
      </c>
      <c r="O9">
        <f t="shared" si="5"/>
        <v>25864.678445383612</v>
      </c>
      <c r="P9" t="str">
        <f t="shared" si="6"/>
        <v>V1</v>
      </c>
    </row>
    <row r="10" spans="2:16" x14ac:dyDescent="0.45">
      <c r="B10" t="str">
        <v>1.2.4</v>
      </c>
      <c r="C10" t="str">
        <v>Remove &amp; discard DensGlass sheathing</v>
      </c>
      <c r="D10">
        <v>62336</v>
      </c>
      <c r="E10" t="str">
        <v>sf</v>
      </c>
      <c r="F10">
        <v>10.487638922475462</v>
      </c>
      <c r="G10">
        <v>653757.45987143042</v>
      </c>
      <c r="H10" t="str">
        <v>V1</v>
      </c>
      <c r="J10" t="str">
        <f t="shared" si="0"/>
        <v>1.2.4</v>
      </c>
      <c r="K10" t="str">
        <f t="shared" si="1"/>
        <v>Remove &amp; discard DensGlass sheathing</v>
      </c>
      <c r="L10">
        <f t="shared" si="2"/>
        <v>62336</v>
      </c>
      <c r="M10" t="str">
        <f t="shared" si="3"/>
        <v>sf</v>
      </c>
      <c r="N10">
        <f t="shared" si="4"/>
        <v>10.487638922475462</v>
      </c>
      <c r="O10">
        <f t="shared" si="5"/>
        <v>653757.45987143042</v>
      </c>
      <c r="P10" t="str">
        <f t="shared" si="6"/>
        <v>V1</v>
      </c>
    </row>
    <row r="11" spans="2:16" x14ac:dyDescent="0.45">
      <c r="B11" t="str">
        <v>1.4</v>
      </c>
      <c r="C11" t="str">
        <v>07 00 00 - Thermal &amp; Moisture Protection</v>
      </c>
      <c r="D11">
        <v>0</v>
      </c>
      <c r="E11">
        <v>0</v>
      </c>
      <c r="F11">
        <v>0</v>
      </c>
      <c r="G11">
        <v>3321435.337788247</v>
      </c>
      <c r="H11" t="str">
        <v>V1</v>
      </c>
      <c r="J11" t="str">
        <f t="shared" si="0"/>
        <v>1.4</v>
      </c>
      <c r="K11" t="str">
        <f t="shared" si="1"/>
        <v>07 00 00 - Thermal &amp; Moisture Protection</v>
      </c>
      <c r="L11">
        <f t="shared" si="2"/>
        <v>0</v>
      </c>
      <c r="M11">
        <f t="shared" si="3"/>
        <v>0</v>
      </c>
      <c r="N11">
        <f t="shared" si="4"/>
        <v>0</v>
      </c>
      <c r="O11">
        <f t="shared" si="5"/>
        <v>3321435.337788247</v>
      </c>
      <c r="P11" t="str">
        <f t="shared" si="6"/>
        <v>V1</v>
      </c>
    </row>
    <row r="12" spans="2:16" x14ac:dyDescent="0.45">
      <c r="B12" t="str">
        <v>1.4.1</v>
      </c>
      <c r="C12" t="str">
        <v>Replace DensGlass sheathing</v>
      </c>
      <c r="D12">
        <v>62336</v>
      </c>
      <c r="E12" t="str">
        <v>sf</v>
      </c>
      <c r="F12">
        <v>12.868424554062548</v>
      </c>
      <c r="G12">
        <v>802166.11300204298</v>
      </c>
      <c r="H12" t="str">
        <v>V1</v>
      </c>
      <c r="J12" t="str">
        <f t="shared" si="0"/>
        <v>1.4.1</v>
      </c>
      <c r="K12" t="str">
        <f t="shared" si="1"/>
        <v>Replace DensGlass sheathing</v>
      </c>
      <c r="L12">
        <f t="shared" si="2"/>
        <v>62336</v>
      </c>
      <c r="M12" t="str">
        <f t="shared" si="3"/>
        <v>sf</v>
      </c>
      <c r="N12">
        <f t="shared" si="4"/>
        <v>12.868424554062548</v>
      </c>
      <c r="O12">
        <f t="shared" si="5"/>
        <v>802166.11300204298</v>
      </c>
      <c r="P12" t="str">
        <f t="shared" si="6"/>
        <v>V1</v>
      </c>
    </row>
    <row r="13" spans="2:16" x14ac:dyDescent="0.45">
      <c r="B13" t="str">
        <v>1.4.2</v>
      </c>
      <c r="C13" t="str">
        <v>Apply fluild-applied air &amp; vapor barrier</v>
      </c>
      <c r="D13">
        <v>62336</v>
      </c>
      <c r="E13" t="str">
        <v>sf</v>
      </c>
      <c r="F13">
        <v>14.644653895871786</v>
      </c>
      <c r="G13">
        <v>912889.14525306365</v>
      </c>
      <c r="H13" t="str">
        <v>V1</v>
      </c>
      <c r="J13" t="str">
        <f t="shared" si="0"/>
        <v>1.4.2</v>
      </c>
      <c r="K13" t="str">
        <f t="shared" si="1"/>
        <v>Apply fluild-applied air &amp; vapor barrier</v>
      </c>
      <c r="L13">
        <f t="shared" si="2"/>
        <v>62336</v>
      </c>
      <c r="M13" t="str">
        <f t="shared" si="3"/>
        <v>sf</v>
      </c>
      <c r="N13">
        <f t="shared" si="4"/>
        <v>14.644653895871786</v>
      </c>
      <c r="O13">
        <f t="shared" si="5"/>
        <v>912889.14525306365</v>
      </c>
      <c r="P13" t="str">
        <f t="shared" si="6"/>
        <v>V1</v>
      </c>
    </row>
    <row r="14" spans="2:16" x14ac:dyDescent="0.45">
      <c r="B14" t="str">
        <v>1.4.3</v>
      </c>
      <c r="C14" t="str">
        <v>Install drip edge head flashings</v>
      </c>
      <c r="D14">
        <v>1400</v>
      </c>
      <c r="E14" t="str">
        <v>lf</v>
      </c>
      <c r="F14">
        <v>26.701017443649761</v>
      </c>
      <c r="G14">
        <v>37381.424421109667</v>
      </c>
      <c r="H14" t="str">
        <v>V1</v>
      </c>
      <c r="J14" t="str">
        <f t="shared" si="0"/>
        <v>1.4.3</v>
      </c>
      <c r="K14" t="str">
        <f t="shared" si="1"/>
        <v>Install drip edge head flashings</v>
      </c>
      <c r="L14">
        <f t="shared" si="2"/>
        <v>1400</v>
      </c>
      <c r="M14" t="str">
        <f t="shared" si="3"/>
        <v>lf</v>
      </c>
      <c r="N14">
        <f t="shared" si="4"/>
        <v>26.701017443649761</v>
      </c>
      <c r="O14">
        <f t="shared" si="5"/>
        <v>37381.424421109667</v>
      </c>
      <c r="P14" t="str">
        <f t="shared" si="6"/>
        <v>V1</v>
      </c>
    </row>
    <row r="15" spans="2:16" x14ac:dyDescent="0.45">
      <c r="B15" t="str">
        <v>1.4.4</v>
      </c>
      <c r="C15" t="str">
        <v>Install perimeter metal flashings around curtain wall</v>
      </c>
      <c r="D15">
        <v>1650</v>
      </c>
      <c r="E15" t="str">
        <v>lf</v>
      </c>
      <c r="F15">
        <v>59.662064053300519</v>
      </c>
      <c r="G15">
        <v>98442.405687945851</v>
      </c>
      <c r="H15" t="str">
        <v>V1</v>
      </c>
      <c r="J15" t="str">
        <f t="shared" si="0"/>
        <v>1.4.4</v>
      </c>
      <c r="K15" t="str">
        <f t="shared" si="1"/>
        <v>Install perimeter metal flashings around curtain wall</v>
      </c>
      <c r="L15">
        <f t="shared" si="2"/>
        <v>1650</v>
      </c>
      <c r="M15" t="str">
        <f t="shared" si="3"/>
        <v>lf</v>
      </c>
      <c r="N15">
        <f t="shared" si="4"/>
        <v>59.662064053300519</v>
      </c>
      <c r="O15">
        <f t="shared" si="5"/>
        <v>98442.405687945851</v>
      </c>
      <c r="P15" t="str">
        <f t="shared" si="6"/>
        <v>V1</v>
      </c>
    </row>
    <row r="16" spans="2:16" x14ac:dyDescent="0.45">
      <c r="B16" t="str">
        <v>1.4.5</v>
      </c>
      <c r="C16" t="str">
        <v>Install new perimeter T-Flashing</v>
      </c>
      <c r="D16">
        <v>3550</v>
      </c>
      <c r="E16" t="str">
        <v>lf</v>
      </c>
      <c r="F16">
        <v>29.755882005991737</v>
      </c>
      <c r="G16">
        <v>105633.38112127066</v>
      </c>
      <c r="H16" t="str">
        <v>V1</v>
      </c>
      <c r="J16" t="str">
        <f t="shared" si="0"/>
        <v>1.4.5</v>
      </c>
      <c r="K16" t="str">
        <f t="shared" si="1"/>
        <v>Install new perimeter T-Flashing</v>
      </c>
      <c r="L16">
        <f t="shared" si="2"/>
        <v>3550</v>
      </c>
      <c r="M16" t="str">
        <f t="shared" si="3"/>
        <v>lf</v>
      </c>
      <c r="N16">
        <f t="shared" si="4"/>
        <v>29.755882005991737</v>
      </c>
      <c r="O16">
        <f t="shared" si="5"/>
        <v>105633.38112127066</v>
      </c>
      <c r="P16" t="str">
        <f t="shared" si="6"/>
        <v>V1</v>
      </c>
    </row>
    <row r="17" spans="2:16" x14ac:dyDescent="0.45">
      <c r="B17" t="str">
        <v>1.4.6</v>
      </c>
      <c r="C17" t="str">
        <v>Counter flashing T-Flashing</v>
      </c>
      <c r="D17">
        <v>3550</v>
      </c>
      <c r="E17" t="str">
        <v>lf</v>
      </c>
      <c r="F17">
        <v>29.755882005991737</v>
      </c>
      <c r="G17">
        <v>105633.38112127066</v>
      </c>
      <c r="H17" t="str">
        <v>V1</v>
      </c>
      <c r="J17" t="str">
        <f t="shared" si="0"/>
        <v>1.4.6</v>
      </c>
      <c r="K17" t="str">
        <f t="shared" si="1"/>
        <v>Counter flashing T-Flashing</v>
      </c>
      <c r="L17">
        <f t="shared" si="2"/>
        <v>3550</v>
      </c>
      <c r="M17" t="str">
        <f t="shared" si="3"/>
        <v>lf</v>
      </c>
      <c r="N17">
        <f t="shared" si="4"/>
        <v>29.755882005991737</v>
      </c>
      <c r="O17">
        <f t="shared" si="5"/>
        <v>105633.38112127066</v>
      </c>
      <c r="P17" t="str">
        <f t="shared" si="6"/>
        <v>V1</v>
      </c>
    </row>
    <row r="18" spans="2:16" x14ac:dyDescent="0.45">
      <c r="B18" t="str">
        <v>1.4.7</v>
      </c>
      <c r="C18" t="str">
        <v>Apply primary &amp; secondary sealants per original project specifications</v>
      </c>
      <c r="D18">
        <v>12340</v>
      </c>
      <c r="E18" t="str">
        <v>lf</v>
      </c>
      <c r="F18">
        <v>14.425130275731325</v>
      </c>
      <c r="G18">
        <v>178006.10760252454</v>
      </c>
      <c r="H18" t="str">
        <v>V1</v>
      </c>
      <c r="J18" t="str">
        <f t="shared" si="0"/>
        <v>1.4.7</v>
      </c>
      <c r="K18" t="str">
        <f t="shared" si="1"/>
        <v>Apply primary &amp; secondary sealants per original project specifications</v>
      </c>
      <c r="L18">
        <f t="shared" si="2"/>
        <v>12340</v>
      </c>
      <c r="M18" t="str">
        <f t="shared" si="3"/>
        <v>lf</v>
      </c>
      <c r="N18">
        <f t="shared" si="4"/>
        <v>14.425130275731325</v>
      </c>
      <c r="O18">
        <f t="shared" si="5"/>
        <v>178006.10760252454</v>
      </c>
      <c r="P18" t="str">
        <f t="shared" si="6"/>
        <v>V1</v>
      </c>
    </row>
    <row r="19" spans="2:16" x14ac:dyDescent="0.45">
      <c r="B19" t="str">
        <v>1.4.8</v>
      </c>
      <c r="C19" t="str">
        <v>Replace ACM panels</v>
      </c>
      <c r="D19">
        <v>7362</v>
      </c>
      <c r="E19" t="str">
        <v>sf</v>
      </c>
      <c r="F19">
        <v>121.01994678028061</v>
      </c>
      <c r="G19">
        <v>890948.84819642582</v>
      </c>
      <c r="H19" t="str">
        <v>V1</v>
      </c>
      <c r="J19" t="str">
        <f t="shared" si="0"/>
        <v>1.4.8</v>
      </c>
      <c r="K19" t="str">
        <f t="shared" si="1"/>
        <v>Replace ACM panels</v>
      </c>
      <c r="L19">
        <f t="shared" si="2"/>
        <v>7362</v>
      </c>
      <c r="M19" t="str">
        <f t="shared" si="3"/>
        <v>sf</v>
      </c>
      <c r="N19">
        <f t="shared" si="4"/>
        <v>121.01994678028061</v>
      </c>
      <c r="O19">
        <f t="shared" si="5"/>
        <v>890948.84819642582</v>
      </c>
      <c r="P19" t="str">
        <f t="shared" si="6"/>
        <v>V1</v>
      </c>
    </row>
    <row r="20" spans="2:16" x14ac:dyDescent="0.45">
      <c r="B20" t="str">
        <v>1.4.9</v>
      </c>
      <c r="C20" t="str">
        <v>Repalce parapet coping cap</v>
      </c>
      <c r="D20">
        <v>2250</v>
      </c>
      <c r="E20" t="str">
        <v>lf</v>
      </c>
      <c r="F20">
        <v>84.593125058930383</v>
      </c>
      <c r="G20">
        <v>190334.53138259336</v>
      </c>
      <c r="H20" t="str">
        <v>V1</v>
      </c>
      <c r="J20" t="str">
        <f t="shared" si="0"/>
        <v>1.4.9</v>
      </c>
      <c r="K20" t="str">
        <f t="shared" si="1"/>
        <v>Repalce parapet coping cap</v>
      </c>
      <c r="L20">
        <f t="shared" si="2"/>
        <v>2250</v>
      </c>
      <c r="M20" t="str">
        <f t="shared" si="3"/>
        <v>lf</v>
      </c>
      <c r="N20">
        <f t="shared" si="4"/>
        <v>84.593125058930383</v>
      </c>
      <c r="O20">
        <f t="shared" si="5"/>
        <v>190334.53138259336</v>
      </c>
      <c r="P20" t="str">
        <f t="shared" si="6"/>
        <v>V1</v>
      </c>
    </row>
    <row r="21" spans="2:16" x14ac:dyDescent="0.45">
      <c r="B21" t="str">
        <v>1.5</v>
      </c>
      <c r="C21" t="str">
        <v>08 00 00 - Openings</v>
      </c>
      <c r="D21">
        <v>0</v>
      </c>
      <c r="E21">
        <v>0</v>
      </c>
      <c r="F21">
        <v>0</v>
      </c>
      <c r="G21">
        <v>341620.92881840246</v>
      </c>
      <c r="H21" t="str">
        <v>V1</v>
      </c>
      <c r="J21" t="str">
        <f t="shared" si="0"/>
        <v>1.5</v>
      </c>
      <c r="K21" t="str">
        <f t="shared" si="1"/>
        <v>08 00 00 - Openings</v>
      </c>
      <c r="L21">
        <f t="shared" si="2"/>
        <v>0</v>
      </c>
      <c r="M21">
        <f t="shared" si="3"/>
        <v>0</v>
      </c>
      <c r="N21">
        <f t="shared" si="4"/>
        <v>0</v>
      </c>
      <c r="O21">
        <f t="shared" si="5"/>
        <v>341620.92881840246</v>
      </c>
      <c r="P21" t="str">
        <f t="shared" si="6"/>
        <v>V1</v>
      </c>
    </row>
    <row r="22" spans="2:16" x14ac:dyDescent="0.45">
      <c r="B22" t="str">
        <v>1.5.1</v>
      </c>
      <c r="C22" t="str">
        <v>Remove &amp; replace glazed door assemblies</v>
      </c>
      <c r="D22">
        <v>15</v>
      </c>
      <c r="E22" t="str">
        <v>ea</v>
      </c>
      <c r="F22">
        <v>7754.5221830082355</v>
      </c>
      <c r="G22">
        <v>116317.83274512354</v>
      </c>
      <c r="H22" t="str">
        <v>V1</v>
      </c>
      <c r="J22" t="str">
        <f t="shared" si="0"/>
        <v>1.5.1</v>
      </c>
      <c r="K22" t="str">
        <f t="shared" si="1"/>
        <v>Remove &amp; replace glazed door assemblies</v>
      </c>
      <c r="L22">
        <f t="shared" si="2"/>
        <v>15</v>
      </c>
      <c r="M22" t="str">
        <f t="shared" si="3"/>
        <v>ea</v>
      </c>
      <c r="N22">
        <f t="shared" si="4"/>
        <v>7754.5221830082355</v>
      </c>
      <c r="O22">
        <f t="shared" si="5"/>
        <v>116317.83274512354</v>
      </c>
      <c r="P22" t="str">
        <f t="shared" si="6"/>
        <v>V1</v>
      </c>
    </row>
    <row r="23" spans="2:16" x14ac:dyDescent="0.45">
      <c r="B23" t="str">
        <v>1.5.2</v>
      </c>
      <c r="C23" t="str">
        <v>Install exterior door sweeps</v>
      </c>
      <c r="D23">
        <v>25</v>
      </c>
      <c r="E23" t="str">
        <v>ea</v>
      </c>
      <c r="F23">
        <v>1180.8682064872953</v>
      </c>
      <c r="G23">
        <v>29521.705162182381</v>
      </c>
      <c r="H23" t="str">
        <v>V1</v>
      </c>
      <c r="J23" t="str">
        <f t="shared" si="0"/>
        <v>1.5.2</v>
      </c>
      <c r="K23" t="str">
        <f t="shared" si="1"/>
        <v>Install exterior door sweeps</v>
      </c>
      <c r="L23">
        <f t="shared" si="2"/>
        <v>25</v>
      </c>
      <c r="M23" t="str">
        <f t="shared" si="3"/>
        <v>ea</v>
      </c>
      <c r="N23">
        <f t="shared" si="4"/>
        <v>1180.8682064872953</v>
      </c>
      <c r="O23">
        <f t="shared" si="5"/>
        <v>29521.705162182381</v>
      </c>
      <c r="P23" t="str">
        <f t="shared" si="6"/>
        <v>V1</v>
      </c>
    </row>
    <row r="24" spans="2:16" x14ac:dyDescent="0.45">
      <c r="B24" t="str">
        <v>1.5.3</v>
      </c>
      <c r="C24" t="str">
        <v>Adjust doors</v>
      </c>
      <c r="D24">
        <v>25</v>
      </c>
      <c r="E24" t="str">
        <v>ea</v>
      </c>
      <c r="F24">
        <v>1547.760222867257</v>
      </c>
      <c r="G24">
        <v>38694.005571681424</v>
      </c>
      <c r="H24" t="str">
        <v>V1</v>
      </c>
      <c r="J24" t="str">
        <f t="shared" si="0"/>
        <v>1.5.3</v>
      </c>
      <c r="K24" t="str">
        <f t="shared" si="1"/>
        <v>Adjust doors</v>
      </c>
      <c r="L24">
        <f t="shared" si="2"/>
        <v>25</v>
      </c>
      <c r="M24" t="str">
        <f t="shared" si="3"/>
        <v>ea</v>
      </c>
      <c r="N24">
        <f t="shared" si="4"/>
        <v>1547.760222867257</v>
      </c>
      <c r="O24">
        <f t="shared" si="5"/>
        <v>38694.005571681424</v>
      </c>
      <c r="P24" t="str">
        <f t="shared" si="6"/>
        <v>V1</v>
      </c>
    </row>
    <row r="25" spans="2:16" x14ac:dyDescent="0.45">
      <c r="B25" t="str">
        <v>1.5.4</v>
      </c>
      <c r="C25" t="str">
        <v>Install window &amp; glazing sealants</v>
      </c>
      <c r="D25">
        <v>20100</v>
      </c>
      <c r="E25" t="str">
        <v>lf</v>
      </c>
      <c r="F25">
        <v>7.8152928029559758</v>
      </c>
      <c r="G25">
        <v>157087.38533941511</v>
      </c>
      <c r="H25" t="str">
        <v>V1</v>
      </c>
      <c r="J25" t="str">
        <f t="shared" si="0"/>
        <v>1.5.4</v>
      </c>
      <c r="K25" t="str">
        <f t="shared" si="1"/>
        <v>Install window &amp; glazing sealants</v>
      </c>
      <c r="L25">
        <f t="shared" si="2"/>
        <v>20100</v>
      </c>
      <c r="M25" t="str">
        <f t="shared" si="3"/>
        <v>lf</v>
      </c>
      <c r="N25">
        <f t="shared" si="4"/>
        <v>7.8152928029559758</v>
      </c>
      <c r="O25">
        <f t="shared" si="5"/>
        <v>157087.38533941511</v>
      </c>
      <c r="P25" t="str">
        <f t="shared" si="6"/>
        <v>V1</v>
      </c>
    </row>
    <row r="26" spans="2:16" x14ac:dyDescent="0.45">
      <c r="B26" t="str">
        <v>1.6</v>
      </c>
      <c r="C26" t="str">
        <v>09 00 00 - Finishes</v>
      </c>
      <c r="D26">
        <v>0</v>
      </c>
      <c r="E26">
        <v>0</v>
      </c>
      <c r="F26">
        <v>0</v>
      </c>
      <c r="G26">
        <v>2086807.2900730988</v>
      </c>
      <c r="H26" t="str">
        <v>V1</v>
      </c>
      <c r="J26" t="str">
        <f t="shared" si="0"/>
        <v>1.6</v>
      </c>
      <c r="K26" t="str">
        <f t="shared" si="1"/>
        <v>09 00 00 - Finishes</v>
      </c>
      <c r="L26">
        <f t="shared" si="2"/>
        <v>0</v>
      </c>
      <c r="M26">
        <f t="shared" si="3"/>
        <v>0</v>
      </c>
      <c r="N26">
        <f t="shared" si="4"/>
        <v>0</v>
      </c>
      <c r="O26">
        <f t="shared" si="5"/>
        <v>2086807.2900730988</v>
      </c>
      <c r="P26" t="str">
        <f t="shared" si="6"/>
        <v>V1</v>
      </c>
    </row>
    <row r="27" spans="2:16" x14ac:dyDescent="0.45">
      <c r="B27" t="str">
        <v>1.6.1</v>
      </c>
      <c r="C27" t="str">
        <v>Install stucco paper &amp; lath</v>
      </c>
      <c r="D27">
        <v>6109</v>
      </c>
      <c r="E27" t="str">
        <v>sy</v>
      </c>
      <c r="F27">
        <v>67.327191418479018</v>
      </c>
      <c r="G27">
        <v>411301.81237548834</v>
      </c>
      <c r="H27" t="str">
        <v>V1</v>
      </c>
      <c r="J27" t="str">
        <f t="shared" si="0"/>
        <v>1.6.1</v>
      </c>
      <c r="K27" t="str">
        <f t="shared" si="1"/>
        <v>Install stucco paper &amp; lath</v>
      </c>
      <c r="L27">
        <f t="shared" si="2"/>
        <v>6109</v>
      </c>
      <c r="M27" t="str">
        <f t="shared" si="3"/>
        <v>sy</v>
      </c>
      <c r="N27">
        <f t="shared" si="4"/>
        <v>67.327191418479018</v>
      </c>
      <c r="O27">
        <f t="shared" si="5"/>
        <v>411301.81237548834</v>
      </c>
      <c r="P27" t="str">
        <f t="shared" si="6"/>
        <v>V1</v>
      </c>
    </row>
    <row r="28" spans="2:16" x14ac:dyDescent="0.45">
      <c r="B28" t="str">
        <v>1.6.2</v>
      </c>
      <c r="C28" t="str">
        <v>Install stucco system per orignal project specifications</v>
      </c>
      <c r="D28">
        <v>6109</v>
      </c>
      <c r="E28" t="str">
        <v>sy</v>
      </c>
      <c r="F28">
        <v>227.59830434631323</v>
      </c>
      <c r="G28">
        <v>1390398.0412516275</v>
      </c>
      <c r="H28" t="str">
        <v>V1</v>
      </c>
      <c r="J28" t="str">
        <f t="shared" si="0"/>
        <v>1.6.2</v>
      </c>
      <c r="K28" t="str">
        <f t="shared" si="1"/>
        <v>Install stucco system per orignal project specifications</v>
      </c>
      <c r="L28">
        <f t="shared" si="2"/>
        <v>6109</v>
      </c>
      <c r="M28" t="str">
        <f t="shared" si="3"/>
        <v>sy</v>
      </c>
      <c r="N28">
        <f t="shared" si="4"/>
        <v>227.59830434631323</v>
      </c>
      <c r="O28">
        <f t="shared" si="5"/>
        <v>1390398.0412516275</v>
      </c>
      <c r="P28" t="str">
        <f t="shared" si="6"/>
        <v>V1</v>
      </c>
    </row>
    <row r="29" spans="2:16" x14ac:dyDescent="0.45">
      <c r="B29" t="str">
        <v>1.6.3</v>
      </c>
      <c r="C29" t="str">
        <v>Prime and paint stucco per orignal project specifications</v>
      </c>
      <c r="D29">
        <v>54974</v>
      </c>
      <c r="E29" t="str">
        <v>sf</v>
      </c>
      <c r="F29">
        <v>5.1862232409135753</v>
      </c>
      <c r="G29">
        <v>285107.43644598289</v>
      </c>
      <c r="H29" t="str">
        <v>V1</v>
      </c>
      <c r="J29" t="str">
        <f t="shared" si="0"/>
        <v>1.6.3</v>
      </c>
      <c r="K29" t="str">
        <f t="shared" si="1"/>
        <v>Prime and paint stucco per orignal project specifications</v>
      </c>
      <c r="L29">
        <f t="shared" si="2"/>
        <v>54974</v>
      </c>
      <c r="M29" t="str">
        <f t="shared" si="3"/>
        <v>sf</v>
      </c>
      <c r="N29">
        <f t="shared" si="4"/>
        <v>5.1862232409135753</v>
      </c>
      <c r="O29">
        <f t="shared" si="5"/>
        <v>285107.43644598289</v>
      </c>
      <c r="P29" t="str">
        <f t="shared" si="6"/>
        <v>V1</v>
      </c>
    </row>
    <row r="30" spans="2:16" x14ac:dyDescent="0.45">
      <c r="B30" t="str">
        <v>1.1</v>
      </c>
      <c r="C30" t="str">
        <v>01 00 00 - General Requirements</v>
      </c>
      <c r="D30">
        <v>0</v>
      </c>
      <c r="E30">
        <v>0</v>
      </c>
      <c r="F30">
        <v>0</v>
      </c>
      <c r="G30">
        <v>891359.4550131408</v>
      </c>
      <c r="H30" t="str">
        <v>V2</v>
      </c>
      <c r="J30" t="str">
        <f t="shared" si="0"/>
        <v>1.1</v>
      </c>
      <c r="K30" t="str">
        <f t="shared" si="1"/>
        <v>01 00 00 - General Requirements</v>
      </c>
      <c r="L30">
        <f t="shared" si="2"/>
        <v>0</v>
      </c>
      <c r="M30">
        <f t="shared" si="3"/>
        <v>0</v>
      </c>
      <c r="N30">
        <f t="shared" si="4"/>
        <v>0</v>
      </c>
      <c r="O30">
        <f t="shared" si="5"/>
        <v>891359.4550131408</v>
      </c>
      <c r="P30" t="str">
        <f t="shared" si="6"/>
        <v>V2</v>
      </c>
    </row>
    <row r="31" spans="2:16" x14ac:dyDescent="0.45">
      <c r="B31" t="str">
        <v>1.1.1</v>
      </c>
      <c r="C31" t="str">
        <v>Mobilization &amp; Site Staging</v>
      </c>
      <c r="D31">
        <v>1</v>
      </c>
      <c r="E31" t="str">
        <v>ls</v>
      </c>
      <c r="F31">
        <v>321903.43430188828</v>
      </c>
      <c r="G31">
        <v>321903.43430188828</v>
      </c>
      <c r="H31" t="str">
        <v>V2</v>
      </c>
      <c r="J31" t="str">
        <f t="shared" si="0"/>
        <v>1.1.1</v>
      </c>
      <c r="K31" t="str">
        <f t="shared" si="1"/>
        <v>Mobilization &amp; Site Staging</v>
      </c>
      <c r="L31">
        <f t="shared" si="2"/>
        <v>1</v>
      </c>
      <c r="M31" t="str">
        <f t="shared" si="3"/>
        <v>ls</v>
      </c>
      <c r="N31">
        <f t="shared" si="4"/>
        <v>321903.43430188828</v>
      </c>
      <c r="O31">
        <f t="shared" si="5"/>
        <v>321903.43430188828</v>
      </c>
      <c r="P31" t="str">
        <f t="shared" si="6"/>
        <v>V2</v>
      </c>
    </row>
    <row r="32" spans="2:16" x14ac:dyDescent="0.45">
      <c r="B32" t="str">
        <v>1.1.2</v>
      </c>
      <c r="C32" t="str">
        <v>Building access</v>
      </c>
      <c r="D32">
        <v>1</v>
      </c>
      <c r="E32" t="str">
        <v>ls</v>
      </c>
      <c r="F32">
        <v>569456.02071125247</v>
      </c>
      <c r="G32">
        <v>569456.02071125247</v>
      </c>
      <c r="H32" t="str">
        <v>V2</v>
      </c>
      <c r="J32" t="str">
        <f t="shared" si="0"/>
        <v>1.1.2</v>
      </c>
      <c r="K32" t="str">
        <f t="shared" si="1"/>
        <v>Building access</v>
      </c>
      <c r="L32">
        <f t="shared" si="2"/>
        <v>1</v>
      </c>
      <c r="M32" t="str">
        <f t="shared" si="3"/>
        <v>ls</v>
      </c>
      <c r="N32">
        <f t="shared" si="4"/>
        <v>569456.02071125247</v>
      </c>
      <c r="O32">
        <f t="shared" si="5"/>
        <v>569456.02071125247</v>
      </c>
      <c r="P32" t="str">
        <f t="shared" si="6"/>
        <v>V2</v>
      </c>
    </row>
    <row r="33" spans="2:16" x14ac:dyDescent="0.45">
      <c r="B33" t="str">
        <v>1.2</v>
      </c>
      <c r="C33" t="str">
        <v>02 00 00 - Existing Conditions</v>
      </c>
      <c r="D33">
        <v>0</v>
      </c>
      <c r="E33">
        <v>0</v>
      </c>
      <c r="F33">
        <v>0</v>
      </c>
      <c r="G33">
        <v>1527841.1645096838</v>
      </c>
      <c r="H33" t="str">
        <v>V2</v>
      </c>
      <c r="J33" t="str">
        <f t="shared" si="0"/>
        <v>1.2</v>
      </c>
      <c r="K33" t="str">
        <f t="shared" si="1"/>
        <v>02 00 00 - Existing Conditions</v>
      </c>
      <c r="L33">
        <f t="shared" si="2"/>
        <v>0</v>
      </c>
      <c r="M33">
        <f t="shared" si="3"/>
        <v>0</v>
      </c>
      <c r="N33">
        <f t="shared" si="4"/>
        <v>0</v>
      </c>
      <c r="O33">
        <f t="shared" si="5"/>
        <v>1527841.1645096838</v>
      </c>
      <c r="P33" t="str">
        <f t="shared" si="6"/>
        <v>V2</v>
      </c>
    </row>
    <row r="34" spans="2:16" x14ac:dyDescent="0.45">
      <c r="B34" t="str">
        <v>1.2.1</v>
      </c>
      <c r="C34" t="str">
        <v>Remove &amp; discard stucco system</v>
      </c>
      <c r="D34">
        <v>8009</v>
      </c>
      <c r="E34" t="str">
        <v>sy</v>
      </c>
      <c r="F34">
        <v>94.809303333695624</v>
      </c>
      <c r="G34">
        <v>759327.7103995682</v>
      </c>
      <c r="H34" t="str">
        <v>V2</v>
      </c>
      <c r="J34" t="str">
        <f t="shared" si="0"/>
        <v>1.2.1</v>
      </c>
      <c r="K34" t="str">
        <f t="shared" si="1"/>
        <v>Remove &amp; discard stucco system</v>
      </c>
      <c r="L34">
        <f t="shared" si="2"/>
        <v>8009</v>
      </c>
      <c r="M34" t="str">
        <f t="shared" si="3"/>
        <v>sy</v>
      </c>
      <c r="N34">
        <f t="shared" si="4"/>
        <v>94.809303333695624</v>
      </c>
      <c r="O34">
        <f t="shared" si="5"/>
        <v>759327.7103995682</v>
      </c>
      <c r="P34" t="str">
        <f t="shared" si="6"/>
        <v>V2</v>
      </c>
    </row>
    <row r="35" spans="2:16" x14ac:dyDescent="0.45">
      <c r="B35" t="str">
        <v>1.2.2</v>
      </c>
      <c r="C35" t="str">
        <v>Remove ACM panels</v>
      </c>
      <c r="D35">
        <v>8262</v>
      </c>
      <c r="E35" t="str">
        <v>sf</v>
      </c>
      <c r="F35">
        <v>10.759055409501517</v>
      </c>
      <c r="G35">
        <v>88891.315793301532</v>
      </c>
      <c r="H35" t="str">
        <v>V2</v>
      </c>
      <c r="J35" t="str">
        <f t="shared" ref="J35:J66" si="7">B35</f>
        <v>1.2.2</v>
      </c>
      <c r="K35" t="str">
        <f t="shared" ref="K35:K66" si="8">C35</f>
        <v>Remove ACM panels</v>
      </c>
      <c r="L35">
        <f t="shared" ref="L35:L66" si="9">D35</f>
        <v>8262</v>
      </c>
      <c r="M35" t="str">
        <f t="shared" ref="M35:M66" si="10">E35</f>
        <v>sf</v>
      </c>
      <c r="N35">
        <f t="shared" ref="N35:N66" si="11">F35</f>
        <v>10.759055409501517</v>
      </c>
      <c r="O35">
        <f t="shared" ref="O35:O66" si="12">G35</f>
        <v>88891.315793301532</v>
      </c>
      <c r="P35" t="str">
        <f t="shared" ref="P35:P66" si="13">H35</f>
        <v>V2</v>
      </c>
    </row>
    <row r="36" spans="2:16" x14ac:dyDescent="0.45">
      <c r="B36" t="str">
        <v>1.2.3</v>
      </c>
      <c r="C36" t="str">
        <v>Remove parpet coping cap</v>
      </c>
      <c r="D36">
        <v>2250</v>
      </c>
      <c r="E36" t="str">
        <v>lf</v>
      </c>
      <c r="F36">
        <v>11.495412642392717</v>
      </c>
      <c r="G36">
        <v>25864.678445383612</v>
      </c>
      <c r="H36" t="str">
        <v>V2</v>
      </c>
      <c r="J36" t="str">
        <f t="shared" si="7"/>
        <v>1.2.3</v>
      </c>
      <c r="K36" t="str">
        <f t="shared" si="8"/>
        <v>Remove parpet coping cap</v>
      </c>
      <c r="L36">
        <f t="shared" si="9"/>
        <v>2250</v>
      </c>
      <c r="M36" t="str">
        <f t="shared" si="10"/>
        <v>lf</v>
      </c>
      <c r="N36">
        <f t="shared" si="11"/>
        <v>11.495412642392717</v>
      </c>
      <c r="O36">
        <f t="shared" si="12"/>
        <v>25864.678445383612</v>
      </c>
      <c r="P36" t="str">
        <f t="shared" si="13"/>
        <v>V2</v>
      </c>
    </row>
    <row r="37" spans="2:16" x14ac:dyDescent="0.45">
      <c r="B37" t="str">
        <v>1.2.4</v>
      </c>
      <c r="C37" t="str">
        <v>Remove &amp; discard DensGlass sheathing</v>
      </c>
      <c r="D37">
        <v>62336</v>
      </c>
      <c r="E37" t="str">
        <v>sf</v>
      </c>
      <c r="F37">
        <v>10.487638922475462</v>
      </c>
      <c r="G37">
        <v>653757.45987143042</v>
      </c>
      <c r="H37" t="str">
        <v>V2</v>
      </c>
      <c r="J37" t="str">
        <f t="shared" si="7"/>
        <v>1.2.4</v>
      </c>
      <c r="K37" t="str">
        <f t="shared" si="8"/>
        <v>Remove &amp; discard DensGlass sheathing</v>
      </c>
      <c r="L37">
        <f t="shared" si="9"/>
        <v>62336</v>
      </c>
      <c r="M37" t="str">
        <f t="shared" si="10"/>
        <v>sf</v>
      </c>
      <c r="N37">
        <f t="shared" si="11"/>
        <v>10.487638922475462</v>
      </c>
      <c r="O37">
        <f t="shared" si="12"/>
        <v>653757.45987143042</v>
      </c>
      <c r="P37" t="str">
        <f t="shared" si="13"/>
        <v>V2</v>
      </c>
    </row>
    <row r="38" spans="2:16" x14ac:dyDescent="0.45">
      <c r="B38" t="str">
        <v>1.4</v>
      </c>
      <c r="C38" t="str">
        <v>07 00 00 - Thermal &amp; Moisture Protection</v>
      </c>
      <c r="D38">
        <v>0</v>
      </c>
      <c r="E38">
        <v>0</v>
      </c>
      <c r="F38">
        <v>0</v>
      </c>
      <c r="G38">
        <v>4021337.1132240347</v>
      </c>
      <c r="H38" t="str">
        <v>V2</v>
      </c>
      <c r="J38" t="str">
        <f t="shared" si="7"/>
        <v>1.4</v>
      </c>
      <c r="K38" t="str">
        <f t="shared" si="8"/>
        <v>07 00 00 - Thermal &amp; Moisture Protection</v>
      </c>
      <c r="L38">
        <f t="shared" si="9"/>
        <v>0</v>
      </c>
      <c r="M38">
        <f t="shared" si="10"/>
        <v>0</v>
      </c>
      <c r="N38">
        <f t="shared" si="11"/>
        <v>0</v>
      </c>
      <c r="O38">
        <f t="shared" si="12"/>
        <v>4021337.1132240347</v>
      </c>
      <c r="P38" t="str">
        <f t="shared" si="13"/>
        <v>V2</v>
      </c>
    </row>
    <row r="39" spans="2:16" x14ac:dyDescent="0.45">
      <c r="B39" t="str">
        <v>1.4.1</v>
      </c>
      <c r="C39" t="str">
        <v>Replace DensGlass sheathing</v>
      </c>
      <c r="D39">
        <v>80343</v>
      </c>
      <c r="E39" t="str">
        <v>sf</v>
      </c>
      <c r="F39">
        <v>12.868424554062548</v>
      </c>
      <c r="G39">
        <v>1033887.8339470472</v>
      </c>
      <c r="H39" t="str">
        <v>V2</v>
      </c>
      <c r="J39" t="str">
        <f t="shared" si="7"/>
        <v>1.4.1</v>
      </c>
      <c r="K39" t="str">
        <f t="shared" si="8"/>
        <v>Replace DensGlass sheathing</v>
      </c>
      <c r="L39">
        <f t="shared" si="9"/>
        <v>80343</v>
      </c>
      <c r="M39" t="str">
        <f t="shared" si="10"/>
        <v>sf</v>
      </c>
      <c r="N39">
        <f t="shared" si="11"/>
        <v>12.868424554062548</v>
      </c>
      <c r="O39">
        <f t="shared" si="12"/>
        <v>1033887.8339470472</v>
      </c>
      <c r="P39" t="str">
        <f t="shared" si="13"/>
        <v>V2</v>
      </c>
    </row>
    <row r="40" spans="2:16" x14ac:dyDescent="0.45">
      <c r="B40" t="str">
        <v>1.4.2</v>
      </c>
      <c r="C40" t="str">
        <v>Apply fluild-applied air &amp; vapor barrier</v>
      </c>
      <c r="D40">
        <v>80343</v>
      </c>
      <c r="E40" t="str">
        <v>sf</v>
      </c>
      <c r="F40">
        <v>14.644653895871786</v>
      </c>
      <c r="G40">
        <v>1176595.427956027</v>
      </c>
      <c r="H40" t="str">
        <v>V2</v>
      </c>
      <c r="J40" t="str">
        <f t="shared" si="7"/>
        <v>1.4.2</v>
      </c>
      <c r="K40" t="str">
        <f t="shared" si="8"/>
        <v>Apply fluild-applied air &amp; vapor barrier</v>
      </c>
      <c r="L40">
        <f t="shared" si="9"/>
        <v>80343</v>
      </c>
      <c r="M40" t="str">
        <f t="shared" si="10"/>
        <v>sf</v>
      </c>
      <c r="N40">
        <f t="shared" si="11"/>
        <v>14.644653895871786</v>
      </c>
      <c r="O40">
        <f t="shared" si="12"/>
        <v>1176595.427956027</v>
      </c>
      <c r="P40" t="str">
        <f t="shared" si="13"/>
        <v>V2</v>
      </c>
    </row>
    <row r="41" spans="2:16" x14ac:dyDescent="0.45">
      <c r="B41" t="str">
        <v>1.4.3</v>
      </c>
      <c r="C41" t="str">
        <v>Install drip edge head flashings</v>
      </c>
      <c r="D41">
        <v>1500</v>
      </c>
      <c r="E41" t="str">
        <v>lf</v>
      </c>
      <c r="F41">
        <v>26.701017443649761</v>
      </c>
      <c r="G41">
        <v>40051.526165474643</v>
      </c>
      <c r="H41" t="str">
        <v>V2</v>
      </c>
      <c r="J41" t="str">
        <f t="shared" si="7"/>
        <v>1.4.3</v>
      </c>
      <c r="K41" t="str">
        <f t="shared" si="8"/>
        <v>Install drip edge head flashings</v>
      </c>
      <c r="L41">
        <f t="shared" si="9"/>
        <v>1500</v>
      </c>
      <c r="M41" t="str">
        <f t="shared" si="10"/>
        <v>lf</v>
      </c>
      <c r="N41">
        <f t="shared" si="11"/>
        <v>26.701017443649761</v>
      </c>
      <c r="O41">
        <f t="shared" si="12"/>
        <v>40051.526165474643</v>
      </c>
      <c r="P41" t="str">
        <f t="shared" si="13"/>
        <v>V2</v>
      </c>
    </row>
    <row r="42" spans="2:16" x14ac:dyDescent="0.45">
      <c r="B42" t="str">
        <v>1.4.4</v>
      </c>
      <c r="C42" t="str">
        <v>Install perimeter metal flashings around curtain wall</v>
      </c>
      <c r="D42">
        <v>1750</v>
      </c>
      <c r="E42" t="str">
        <v>lf</v>
      </c>
      <c r="F42">
        <v>59.662064053300519</v>
      </c>
      <c r="G42">
        <v>104408.61209327591</v>
      </c>
      <c r="H42" t="str">
        <v>V2</v>
      </c>
      <c r="J42" t="str">
        <f t="shared" si="7"/>
        <v>1.4.4</v>
      </c>
      <c r="K42" t="str">
        <f t="shared" si="8"/>
        <v>Install perimeter metal flashings around curtain wall</v>
      </c>
      <c r="L42">
        <f t="shared" si="9"/>
        <v>1750</v>
      </c>
      <c r="M42" t="str">
        <f t="shared" si="10"/>
        <v>lf</v>
      </c>
      <c r="N42">
        <f t="shared" si="11"/>
        <v>59.662064053300519</v>
      </c>
      <c r="O42">
        <f t="shared" si="12"/>
        <v>104408.61209327591</v>
      </c>
      <c r="P42" t="str">
        <f t="shared" si="13"/>
        <v>V2</v>
      </c>
    </row>
    <row r="43" spans="2:16" x14ac:dyDescent="0.45">
      <c r="B43" t="str">
        <v>1.4.5</v>
      </c>
      <c r="C43" t="str">
        <v>Install new perimeter T-Flashing</v>
      </c>
      <c r="D43">
        <v>4550</v>
      </c>
      <c r="E43" t="str">
        <v>lf</v>
      </c>
      <c r="F43">
        <v>29.755882005991737</v>
      </c>
      <c r="G43">
        <v>135389.26312726241</v>
      </c>
      <c r="H43" t="str">
        <v>V2</v>
      </c>
      <c r="J43" t="str">
        <f t="shared" si="7"/>
        <v>1.4.5</v>
      </c>
      <c r="K43" t="str">
        <f t="shared" si="8"/>
        <v>Install new perimeter T-Flashing</v>
      </c>
      <c r="L43">
        <f t="shared" si="9"/>
        <v>4550</v>
      </c>
      <c r="M43" t="str">
        <f t="shared" si="10"/>
        <v>lf</v>
      </c>
      <c r="N43">
        <f t="shared" si="11"/>
        <v>29.755882005991737</v>
      </c>
      <c r="O43">
        <f t="shared" si="12"/>
        <v>135389.26312726241</v>
      </c>
      <c r="P43" t="str">
        <f t="shared" si="13"/>
        <v>V2</v>
      </c>
    </row>
    <row r="44" spans="2:16" x14ac:dyDescent="0.45">
      <c r="B44" t="str">
        <v>1.4.6</v>
      </c>
      <c r="C44" t="str">
        <v>Counter flashing T-Flashing</v>
      </c>
      <c r="D44">
        <v>4550</v>
      </c>
      <c r="E44" t="str">
        <v>lf</v>
      </c>
      <c r="F44">
        <v>29.755882005991737</v>
      </c>
      <c r="G44">
        <v>135389.26312726241</v>
      </c>
      <c r="H44" t="str">
        <v>V2</v>
      </c>
      <c r="J44" t="str">
        <f t="shared" si="7"/>
        <v>1.4.6</v>
      </c>
      <c r="K44" t="str">
        <f t="shared" si="8"/>
        <v>Counter flashing T-Flashing</v>
      </c>
      <c r="L44">
        <f t="shared" si="9"/>
        <v>4550</v>
      </c>
      <c r="M44" t="str">
        <f t="shared" si="10"/>
        <v>lf</v>
      </c>
      <c r="N44">
        <f t="shared" si="11"/>
        <v>29.755882005991737</v>
      </c>
      <c r="O44">
        <f t="shared" si="12"/>
        <v>135389.26312726241</v>
      </c>
      <c r="P44" t="str">
        <f t="shared" si="13"/>
        <v>V2</v>
      </c>
    </row>
    <row r="45" spans="2:16" x14ac:dyDescent="0.45">
      <c r="B45" t="str">
        <v>1.4.7</v>
      </c>
      <c r="C45" t="str">
        <v>Apply primary &amp; secondary sealants per original project specifications</v>
      </c>
      <c r="D45">
        <v>14240</v>
      </c>
      <c r="E45" t="str">
        <v>lf</v>
      </c>
      <c r="F45">
        <v>14.425130275731325</v>
      </c>
      <c r="G45">
        <v>205413.85512641407</v>
      </c>
      <c r="H45" t="str">
        <v>V2</v>
      </c>
      <c r="J45" t="str">
        <f t="shared" si="7"/>
        <v>1.4.7</v>
      </c>
      <c r="K45" t="str">
        <f t="shared" si="8"/>
        <v>Apply primary &amp; secondary sealants per original project specifications</v>
      </c>
      <c r="L45">
        <f t="shared" si="9"/>
        <v>14240</v>
      </c>
      <c r="M45" t="str">
        <f t="shared" si="10"/>
        <v>lf</v>
      </c>
      <c r="N45">
        <f t="shared" si="11"/>
        <v>14.425130275731325</v>
      </c>
      <c r="O45">
        <f t="shared" si="12"/>
        <v>205413.85512641407</v>
      </c>
      <c r="P45" t="str">
        <f t="shared" si="13"/>
        <v>V2</v>
      </c>
    </row>
    <row r="46" spans="2:16" x14ac:dyDescent="0.45">
      <c r="B46" t="str">
        <v>1.4.8</v>
      </c>
      <c r="C46" t="str">
        <v>Replace ACM panels</v>
      </c>
      <c r="D46">
        <v>8262</v>
      </c>
      <c r="E46" t="str">
        <v>sf</v>
      </c>
      <c r="F46">
        <v>121.01994678028061</v>
      </c>
      <c r="G46">
        <v>999866.80029867834</v>
      </c>
      <c r="H46" t="str">
        <v>V2</v>
      </c>
      <c r="J46" t="str">
        <f t="shared" si="7"/>
        <v>1.4.8</v>
      </c>
      <c r="K46" t="str">
        <f t="shared" si="8"/>
        <v>Replace ACM panels</v>
      </c>
      <c r="L46">
        <f t="shared" si="9"/>
        <v>8262</v>
      </c>
      <c r="M46" t="str">
        <f t="shared" si="10"/>
        <v>sf</v>
      </c>
      <c r="N46">
        <f t="shared" si="11"/>
        <v>121.01994678028061</v>
      </c>
      <c r="O46">
        <f t="shared" si="12"/>
        <v>999866.80029867834</v>
      </c>
      <c r="P46" t="str">
        <f t="shared" si="13"/>
        <v>V2</v>
      </c>
    </row>
    <row r="47" spans="2:16" x14ac:dyDescent="0.45">
      <c r="B47" t="str">
        <v>1.4.9</v>
      </c>
      <c r="C47" t="str">
        <v>Repalce parapet coping cap</v>
      </c>
      <c r="D47">
        <v>2250</v>
      </c>
      <c r="E47" t="str">
        <v>lf</v>
      </c>
      <c r="F47">
        <v>84.593125058930383</v>
      </c>
      <c r="G47">
        <v>190334.53138259336</v>
      </c>
      <c r="H47" t="str">
        <v>V2</v>
      </c>
      <c r="J47" t="str">
        <f t="shared" si="7"/>
        <v>1.4.9</v>
      </c>
      <c r="K47" t="str">
        <f t="shared" si="8"/>
        <v>Repalce parapet coping cap</v>
      </c>
      <c r="L47">
        <f t="shared" si="9"/>
        <v>2250</v>
      </c>
      <c r="M47" t="str">
        <f t="shared" si="10"/>
        <v>lf</v>
      </c>
      <c r="N47">
        <f t="shared" si="11"/>
        <v>84.593125058930383</v>
      </c>
      <c r="O47">
        <f t="shared" si="12"/>
        <v>190334.53138259336</v>
      </c>
      <c r="P47" t="str">
        <f t="shared" si="13"/>
        <v>V2</v>
      </c>
    </row>
    <row r="48" spans="2:16" x14ac:dyDescent="0.45">
      <c r="B48" t="str">
        <v>1.5</v>
      </c>
      <c r="C48" t="str">
        <v>08 00 00 - Openings</v>
      </c>
      <c r="D48">
        <v>0</v>
      </c>
      <c r="E48">
        <v>0</v>
      </c>
      <c r="F48">
        <v>0</v>
      </c>
      <c r="G48">
        <v>394036.68188021641</v>
      </c>
      <c r="H48" t="str">
        <v>V2</v>
      </c>
      <c r="J48" t="str">
        <f t="shared" si="7"/>
        <v>1.5</v>
      </c>
      <c r="K48" t="str">
        <f t="shared" si="8"/>
        <v>08 00 00 - Openings</v>
      </c>
      <c r="L48">
        <f t="shared" si="9"/>
        <v>0</v>
      </c>
      <c r="M48">
        <f t="shared" si="10"/>
        <v>0</v>
      </c>
      <c r="N48">
        <f t="shared" si="11"/>
        <v>0</v>
      </c>
      <c r="O48">
        <f t="shared" si="12"/>
        <v>394036.68188021641</v>
      </c>
      <c r="P48" t="str">
        <f t="shared" si="13"/>
        <v>V2</v>
      </c>
    </row>
    <row r="49" spans="2:16" x14ac:dyDescent="0.45">
      <c r="B49" t="str">
        <v>1.5.1</v>
      </c>
      <c r="C49" t="str">
        <v>Remove &amp; replace glazed door assemblies</v>
      </c>
      <c r="D49">
        <v>20</v>
      </c>
      <c r="E49" t="str">
        <v>ea</v>
      </c>
      <c r="F49">
        <v>7754.5221830082355</v>
      </c>
      <c r="G49">
        <v>155090.44366016472</v>
      </c>
      <c r="H49" t="str">
        <v>V2</v>
      </c>
      <c r="J49" t="str">
        <f t="shared" si="7"/>
        <v>1.5.1</v>
      </c>
      <c r="K49" t="str">
        <f t="shared" si="8"/>
        <v>Remove &amp; replace glazed door assemblies</v>
      </c>
      <c r="L49">
        <f t="shared" si="9"/>
        <v>20</v>
      </c>
      <c r="M49" t="str">
        <f t="shared" si="10"/>
        <v>ea</v>
      </c>
      <c r="N49">
        <f t="shared" si="11"/>
        <v>7754.5221830082355</v>
      </c>
      <c r="O49">
        <f t="shared" si="12"/>
        <v>155090.44366016472</v>
      </c>
      <c r="P49" t="str">
        <f t="shared" si="13"/>
        <v>V2</v>
      </c>
    </row>
    <row r="50" spans="2:16" x14ac:dyDescent="0.45">
      <c r="B50" t="str">
        <v>1.5.2</v>
      </c>
      <c r="C50" t="str">
        <v>Install exterior door sweeps</v>
      </c>
      <c r="D50">
        <v>30</v>
      </c>
      <c r="E50" t="str">
        <v>ea</v>
      </c>
      <c r="F50">
        <v>1180.8682064872953</v>
      </c>
      <c r="G50">
        <v>35426.046194618859</v>
      </c>
      <c r="H50" t="str">
        <v>V2</v>
      </c>
      <c r="J50" t="str">
        <f t="shared" si="7"/>
        <v>1.5.2</v>
      </c>
      <c r="K50" t="str">
        <f t="shared" si="8"/>
        <v>Install exterior door sweeps</v>
      </c>
      <c r="L50">
        <f t="shared" si="9"/>
        <v>30</v>
      </c>
      <c r="M50" t="str">
        <f t="shared" si="10"/>
        <v>ea</v>
      </c>
      <c r="N50">
        <f t="shared" si="11"/>
        <v>1180.8682064872953</v>
      </c>
      <c r="O50">
        <f t="shared" si="12"/>
        <v>35426.046194618859</v>
      </c>
      <c r="P50" t="str">
        <f t="shared" si="13"/>
        <v>V2</v>
      </c>
    </row>
    <row r="51" spans="2:16" x14ac:dyDescent="0.45">
      <c r="B51" t="str">
        <v>1.5.3</v>
      </c>
      <c r="C51" t="str">
        <v>Adjust doors</v>
      </c>
      <c r="D51">
        <v>30</v>
      </c>
      <c r="E51" t="str">
        <v>ea</v>
      </c>
      <c r="F51">
        <v>1547.760222867257</v>
      </c>
      <c r="G51">
        <v>46432.806686017706</v>
      </c>
      <c r="H51" t="str">
        <v>V2</v>
      </c>
      <c r="J51" t="str">
        <f t="shared" si="7"/>
        <v>1.5.3</v>
      </c>
      <c r="K51" t="str">
        <f t="shared" si="8"/>
        <v>Adjust doors</v>
      </c>
      <c r="L51">
        <f t="shared" si="9"/>
        <v>30</v>
      </c>
      <c r="M51" t="str">
        <f t="shared" si="10"/>
        <v>ea</v>
      </c>
      <c r="N51">
        <f t="shared" si="11"/>
        <v>1547.760222867257</v>
      </c>
      <c r="O51">
        <f t="shared" si="12"/>
        <v>46432.806686017706</v>
      </c>
      <c r="P51" t="str">
        <f t="shared" si="13"/>
        <v>V2</v>
      </c>
    </row>
    <row r="52" spans="2:16" x14ac:dyDescent="0.45">
      <c r="B52" t="str">
        <v>1.5.4</v>
      </c>
      <c r="C52" t="str">
        <v>Install window &amp; glazing sealants</v>
      </c>
      <c r="D52">
        <v>20100</v>
      </c>
      <c r="E52" t="str">
        <v>lf</v>
      </c>
      <c r="F52">
        <v>7.8152928029559758</v>
      </c>
      <c r="G52">
        <v>157087.38533941511</v>
      </c>
      <c r="H52" t="str">
        <v>V2</v>
      </c>
      <c r="J52" t="str">
        <f t="shared" si="7"/>
        <v>1.5.4</v>
      </c>
      <c r="K52" t="str">
        <f t="shared" si="8"/>
        <v>Install window &amp; glazing sealants</v>
      </c>
      <c r="L52">
        <f t="shared" si="9"/>
        <v>20100</v>
      </c>
      <c r="M52" t="str">
        <f t="shared" si="10"/>
        <v>lf</v>
      </c>
      <c r="N52">
        <f t="shared" si="11"/>
        <v>7.8152928029559758</v>
      </c>
      <c r="O52">
        <f t="shared" si="12"/>
        <v>157087.38533941511</v>
      </c>
      <c r="P52" t="str">
        <f t="shared" si="13"/>
        <v>V2</v>
      </c>
    </row>
    <row r="53" spans="2:16" x14ac:dyDescent="0.45">
      <c r="B53" t="str">
        <v>1.6</v>
      </c>
      <c r="C53" t="str">
        <v>09 00 00 - Finishes</v>
      </c>
      <c r="D53">
        <v>0</v>
      </c>
      <c r="E53">
        <v>0</v>
      </c>
      <c r="F53">
        <v>0</v>
      </c>
      <c r="G53">
        <v>2735886.453008513</v>
      </c>
      <c r="H53" t="str">
        <v>V2</v>
      </c>
      <c r="J53" t="str">
        <f t="shared" si="7"/>
        <v>1.6</v>
      </c>
      <c r="K53" t="str">
        <f t="shared" si="8"/>
        <v>09 00 00 - Finishes</v>
      </c>
      <c r="L53">
        <f t="shared" si="9"/>
        <v>0</v>
      </c>
      <c r="M53">
        <f t="shared" si="10"/>
        <v>0</v>
      </c>
      <c r="N53">
        <f t="shared" si="11"/>
        <v>0</v>
      </c>
      <c r="O53">
        <f t="shared" si="12"/>
        <v>2735886.453008513</v>
      </c>
      <c r="P53" t="str">
        <f t="shared" si="13"/>
        <v>V2</v>
      </c>
    </row>
    <row r="54" spans="2:16" x14ac:dyDescent="0.45">
      <c r="B54" t="str">
        <v>1.6.1</v>
      </c>
      <c r="C54" t="str">
        <v>Install stucco paper &amp; lath</v>
      </c>
      <c r="D54">
        <v>8009</v>
      </c>
      <c r="E54" t="str">
        <v>sy</v>
      </c>
      <c r="F54">
        <v>67.327191418479018</v>
      </c>
      <c r="G54">
        <v>539223.47607059847</v>
      </c>
      <c r="H54" t="str">
        <v>V2</v>
      </c>
      <c r="J54" t="str">
        <f t="shared" si="7"/>
        <v>1.6.1</v>
      </c>
      <c r="K54" t="str">
        <f t="shared" si="8"/>
        <v>Install stucco paper &amp; lath</v>
      </c>
      <c r="L54">
        <f t="shared" si="9"/>
        <v>8009</v>
      </c>
      <c r="M54" t="str">
        <f t="shared" si="10"/>
        <v>sy</v>
      </c>
      <c r="N54">
        <f t="shared" si="11"/>
        <v>67.327191418479018</v>
      </c>
      <c r="O54">
        <f t="shared" si="12"/>
        <v>539223.47607059847</v>
      </c>
      <c r="P54" t="str">
        <f t="shared" si="13"/>
        <v>V2</v>
      </c>
    </row>
    <row r="55" spans="2:16" x14ac:dyDescent="0.45">
      <c r="B55" t="str">
        <v>1.6.2</v>
      </c>
      <c r="C55" t="str">
        <v>Install stucco system per orignal project specifications</v>
      </c>
      <c r="D55">
        <v>8009</v>
      </c>
      <c r="E55" t="str">
        <v>sy</v>
      </c>
      <c r="F55">
        <v>227.59830434631323</v>
      </c>
      <c r="G55">
        <v>1822834.8195096226</v>
      </c>
      <c r="H55" t="str">
        <v>V2</v>
      </c>
      <c r="J55" t="str">
        <f t="shared" si="7"/>
        <v>1.6.2</v>
      </c>
      <c r="K55" t="str">
        <f t="shared" si="8"/>
        <v>Install stucco system per orignal project specifications</v>
      </c>
      <c r="L55">
        <f t="shared" si="9"/>
        <v>8009</v>
      </c>
      <c r="M55" t="str">
        <f t="shared" si="10"/>
        <v>sy</v>
      </c>
      <c r="N55">
        <f t="shared" si="11"/>
        <v>227.59830434631323</v>
      </c>
      <c r="O55">
        <f t="shared" si="12"/>
        <v>1822834.8195096226</v>
      </c>
      <c r="P55" t="str">
        <f t="shared" si="13"/>
        <v>V2</v>
      </c>
    </row>
    <row r="56" spans="2:16" x14ac:dyDescent="0.45">
      <c r="B56" t="str">
        <v>1.6.3</v>
      </c>
      <c r="C56" t="str">
        <v>Prime and paint stucco per orignal project specifications</v>
      </c>
      <c r="D56">
        <v>72081</v>
      </c>
      <c r="E56" t="str">
        <v>sf</v>
      </c>
      <c r="F56">
        <v>5.1862232409135753</v>
      </c>
      <c r="G56">
        <v>373828.15742829145</v>
      </c>
      <c r="H56" t="str">
        <v>V2</v>
      </c>
      <c r="J56" t="str">
        <f t="shared" si="7"/>
        <v>1.6.3</v>
      </c>
      <c r="K56" t="str">
        <f t="shared" si="8"/>
        <v>Prime and paint stucco per orignal project specifications</v>
      </c>
      <c r="L56">
        <f t="shared" si="9"/>
        <v>72081</v>
      </c>
      <c r="M56" t="str">
        <f t="shared" si="10"/>
        <v>sf</v>
      </c>
      <c r="N56">
        <f t="shared" si="11"/>
        <v>5.1862232409135753</v>
      </c>
      <c r="O56">
        <f t="shared" si="12"/>
        <v>373828.15742829145</v>
      </c>
      <c r="P56" t="str">
        <f t="shared" si="13"/>
        <v>V2</v>
      </c>
    </row>
    <row r="57" spans="2:16" x14ac:dyDescent="0.45">
      <c r="B57" t="str">
        <v>1.1</v>
      </c>
      <c r="C57" t="str">
        <v>01 00 00 - General Requirements</v>
      </c>
      <c r="D57">
        <v>0</v>
      </c>
      <c r="E57">
        <v>0</v>
      </c>
      <c r="F57">
        <v>0</v>
      </c>
      <c r="G57">
        <v>891359.4550131408</v>
      </c>
      <c r="H57" t="str">
        <v>V3</v>
      </c>
      <c r="J57" t="str">
        <f t="shared" si="7"/>
        <v>1.1</v>
      </c>
      <c r="K57" t="str">
        <f t="shared" si="8"/>
        <v>01 00 00 - General Requirements</v>
      </c>
      <c r="L57">
        <f t="shared" si="9"/>
        <v>0</v>
      </c>
      <c r="M57">
        <f t="shared" si="10"/>
        <v>0</v>
      </c>
      <c r="N57">
        <f t="shared" si="11"/>
        <v>0</v>
      </c>
      <c r="O57">
        <f t="shared" si="12"/>
        <v>891359.4550131408</v>
      </c>
      <c r="P57" t="str">
        <f t="shared" si="13"/>
        <v>V3</v>
      </c>
    </row>
    <row r="58" spans="2:16" x14ac:dyDescent="0.45">
      <c r="B58" t="str">
        <v>1.1.1</v>
      </c>
      <c r="C58" t="str">
        <v>Mobilization &amp; Site Staging</v>
      </c>
      <c r="D58">
        <v>1</v>
      </c>
      <c r="E58" t="str">
        <v>ls</v>
      </c>
      <c r="F58">
        <v>321903.43430188828</v>
      </c>
      <c r="G58">
        <v>321903.43430188828</v>
      </c>
      <c r="H58" t="str">
        <v>V3</v>
      </c>
      <c r="J58" t="str">
        <f t="shared" si="7"/>
        <v>1.1.1</v>
      </c>
      <c r="K58" t="str">
        <f t="shared" si="8"/>
        <v>Mobilization &amp; Site Staging</v>
      </c>
      <c r="L58">
        <f t="shared" si="9"/>
        <v>1</v>
      </c>
      <c r="M58" t="str">
        <f t="shared" si="10"/>
        <v>ls</v>
      </c>
      <c r="N58">
        <f t="shared" si="11"/>
        <v>321903.43430188828</v>
      </c>
      <c r="O58">
        <f t="shared" si="12"/>
        <v>321903.43430188828</v>
      </c>
      <c r="P58" t="str">
        <f t="shared" si="13"/>
        <v>V3</v>
      </c>
    </row>
    <row r="59" spans="2:16" x14ac:dyDescent="0.45">
      <c r="B59" t="str">
        <v>1.1.2</v>
      </c>
      <c r="C59" t="str">
        <v>Building access</v>
      </c>
      <c r="D59">
        <v>1</v>
      </c>
      <c r="E59" t="str">
        <v>ls</v>
      </c>
      <c r="F59">
        <v>569456.02071125247</v>
      </c>
      <c r="G59">
        <v>569456.02071125247</v>
      </c>
      <c r="H59" t="str">
        <v>V3</v>
      </c>
      <c r="J59" t="str">
        <f t="shared" si="7"/>
        <v>1.1.2</v>
      </c>
      <c r="K59" t="str">
        <f t="shared" si="8"/>
        <v>Building access</v>
      </c>
      <c r="L59">
        <f t="shared" si="9"/>
        <v>1</v>
      </c>
      <c r="M59" t="str">
        <f t="shared" si="10"/>
        <v>ls</v>
      </c>
      <c r="N59">
        <f t="shared" si="11"/>
        <v>569456.02071125247</v>
      </c>
      <c r="O59">
        <f t="shared" si="12"/>
        <v>569456.02071125247</v>
      </c>
      <c r="P59" t="str">
        <f t="shared" si="13"/>
        <v>V3</v>
      </c>
    </row>
    <row r="60" spans="2:16" x14ac:dyDescent="0.45">
      <c r="B60" t="str">
        <v>1.2</v>
      </c>
      <c r="C60" t="str">
        <v>02 00 00 - Existing Conditions</v>
      </c>
      <c r="D60">
        <v>0</v>
      </c>
      <c r="E60">
        <v>0</v>
      </c>
      <c r="F60">
        <v>0</v>
      </c>
      <c r="G60">
        <v>1299849.7019820095</v>
      </c>
      <c r="H60" t="str">
        <v>V3</v>
      </c>
      <c r="J60" t="str">
        <f t="shared" si="7"/>
        <v>1.2</v>
      </c>
      <c r="K60" t="str">
        <f t="shared" si="8"/>
        <v>02 00 00 - Existing Conditions</v>
      </c>
      <c r="L60">
        <f t="shared" si="9"/>
        <v>0</v>
      </c>
      <c r="M60">
        <f t="shared" si="10"/>
        <v>0</v>
      </c>
      <c r="N60">
        <f t="shared" si="11"/>
        <v>0</v>
      </c>
      <c r="O60">
        <f t="shared" si="12"/>
        <v>1299849.7019820095</v>
      </c>
      <c r="P60" t="str">
        <f t="shared" si="13"/>
        <v>V3</v>
      </c>
    </row>
    <row r="61" spans="2:16" x14ac:dyDescent="0.45">
      <c r="B61" t="str">
        <v>1.2.1</v>
      </c>
      <c r="C61" t="str">
        <v>Remove &amp; discard stucco system</v>
      </c>
      <c r="D61">
        <v>6109</v>
      </c>
      <c r="E61" t="str">
        <v>sy</v>
      </c>
      <c r="F61">
        <v>94.809303333695624</v>
      </c>
      <c r="G61">
        <v>579190.03406554658</v>
      </c>
      <c r="H61" t="str">
        <v>V3</v>
      </c>
      <c r="J61" t="str">
        <f t="shared" si="7"/>
        <v>1.2.1</v>
      </c>
      <c r="K61" t="str">
        <f t="shared" si="8"/>
        <v>Remove &amp; discard stucco system</v>
      </c>
      <c r="L61">
        <f t="shared" si="9"/>
        <v>6109</v>
      </c>
      <c r="M61" t="str">
        <f t="shared" si="10"/>
        <v>sy</v>
      </c>
      <c r="N61">
        <f t="shared" si="11"/>
        <v>94.809303333695624</v>
      </c>
      <c r="O61">
        <f t="shared" si="12"/>
        <v>579190.03406554658</v>
      </c>
      <c r="P61" t="str">
        <f t="shared" si="13"/>
        <v>V3</v>
      </c>
    </row>
    <row r="62" spans="2:16" x14ac:dyDescent="0.45">
      <c r="B62" t="str">
        <v>1.2.2</v>
      </c>
      <c r="C62" t="str">
        <v>Remove ACM panels</v>
      </c>
      <c r="D62">
        <v>5562</v>
      </c>
      <c r="E62" t="str">
        <v>sf</v>
      </c>
      <c r="F62">
        <v>10.759055409501517</v>
      </c>
      <c r="G62">
        <v>59841.866187647436</v>
      </c>
      <c r="H62" t="str">
        <v>V3</v>
      </c>
      <c r="J62" t="str">
        <f t="shared" si="7"/>
        <v>1.2.2</v>
      </c>
      <c r="K62" t="str">
        <f t="shared" si="8"/>
        <v>Remove ACM panels</v>
      </c>
      <c r="L62">
        <f t="shared" si="9"/>
        <v>5562</v>
      </c>
      <c r="M62" t="str">
        <f t="shared" si="10"/>
        <v>sf</v>
      </c>
      <c r="N62">
        <f t="shared" si="11"/>
        <v>10.759055409501517</v>
      </c>
      <c r="O62">
        <f t="shared" si="12"/>
        <v>59841.866187647436</v>
      </c>
      <c r="P62" t="str">
        <f t="shared" si="13"/>
        <v>V3</v>
      </c>
    </row>
    <row r="63" spans="2:16" x14ac:dyDescent="0.45">
      <c r="B63" t="str">
        <v>1.2.3</v>
      </c>
      <c r="C63" t="str">
        <v>Remove parpet coping cap</v>
      </c>
      <c r="D63">
        <v>2250</v>
      </c>
      <c r="E63" t="str">
        <v>lf</v>
      </c>
      <c r="F63">
        <v>11.495412642392717</v>
      </c>
      <c r="G63">
        <v>25864.678445383612</v>
      </c>
      <c r="H63" t="str">
        <v>V3</v>
      </c>
      <c r="J63" t="str">
        <f t="shared" si="7"/>
        <v>1.2.3</v>
      </c>
      <c r="K63" t="str">
        <f t="shared" si="8"/>
        <v>Remove parpet coping cap</v>
      </c>
      <c r="L63">
        <f t="shared" si="9"/>
        <v>2250</v>
      </c>
      <c r="M63" t="str">
        <f t="shared" si="10"/>
        <v>lf</v>
      </c>
      <c r="N63">
        <f t="shared" si="11"/>
        <v>11.495412642392717</v>
      </c>
      <c r="O63">
        <f t="shared" si="12"/>
        <v>25864.678445383612</v>
      </c>
      <c r="P63" t="str">
        <f t="shared" si="13"/>
        <v>V3</v>
      </c>
    </row>
    <row r="64" spans="2:16" x14ac:dyDescent="0.45">
      <c r="B64" t="str">
        <v>1.2.4</v>
      </c>
      <c r="C64" t="str">
        <v>Remove &amp; discard DensGlass sheathing</v>
      </c>
      <c r="D64">
        <v>60543</v>
      </c>
      <c r="E64" t="str">
        <v>sf</v>
      </c>
      <c r="F64">
        <v>10.487638922475462</v>
      </c>
      <c r="G64">
        <v>634953.12328343187</v>
      </c>
      <c r="H64" t="str">
        <v>V3</v>
      </c>
      <c r="J64" t="str">
        <f t="shared" si="7"/>
        <v>1.2.4</v>
      </c>
      <c r="K64" t="str">
        <f t="shared" si="8"/>
        <v>Remove &amp; discard DensGlass sheathing</v>
      </c>
      <c r="L64">
        <f t="shared" si="9"/>
        <v>60543</v>
      </c>
      <c r="M64" t="str">
        <f t="shared" si="10"/>
        <v>sf</v>
      </c>
      <c r="N64">
        <f t="shared" si="11"/>
        <v>10.487638922475462</v>
      </c>
      <c r="O64">
        <f t="shared" si="12"/>
        <v>634953.12328343187</v>
      </c>
      <c r="P64" t="str">
        <f t="shared" si="13"/>
        <v>V3</v>
      </c>
    </row>
    <row r="65" spans="2:16" x14ac:dyDescent="0.45">
      <c r="B65" t="str">
        <v>1.4</v>
      </c>
      <c r="C65" t="str">
        <v>07 00 00 - Thermal &amp; Moisture Protection</v>
      </c>
      <c r="D65">
        <v>0</v>
      </c>
      <c r="E65">
        <v>0</v>
      </c>
      <c r="F65">
        <v>0</v>
      </c>
      <c r="G65">
        <v>3054268.4839230096</v>
      </c>
      <c r="H65" t="str">
        <v>V3</v>
      </c>
      <c r="J65" t="str">
        <f t="shared" si="7"/>
        <v>1.4</v>
      </c>
      <c r="K65" t="str">
        <f t="shared" si="8"/>
        <v>07 00 00 - Thermal &amp; Moisture Protection</v>
      </c>
      <c r="L65">
        <f t="shared" si="9"/>
        <v>0</v>
      </c>
      <c r="M65">
        <f t="shared" si="10"/>
        <v>0</v>
      </c>
      <c r="N65">
        <f t="shared" si="11"/>
        <v>0</v>
      </c>
      <c r="O65">
        <f t="shared" si="12"/>
        <v>3054268.4839230096</v>
      </c>
      <c r="P65" t="str">
        <f t="shared" si="13"/>
        <v>V3</v>
      </c>
    </row>
    <row r="66" spans="2:16" x14ac:dyDescent="0.45">
      <c r="B66" t="str">
        <v>1.4.1</v>
      </c>
      <c r="C66" t="str">
        <v>Replace DensGlass sheathing</v>
      </c>
      <c r="D66">
        <v>60543</v>
      </c>
      <c r="E66" t="str">
        <v>sf</v>
      </c>
      <c r="F66">
        <v>12.868424554062548</v>
      </c>
      <c r="G66">
        <v>779093.02777660883</v>
      </c>
      <c r="H66" t="str">
        <v>V3</v>
      </c>
      <c r="J66" t="str">
        <f t="shared" si="7"/>
        <v>1.4.1</v>
      </c>
      <c r="K66" t="str">
        <f t="shared" si="8"/>
        <v>Replace DensGlass sheathing</v>
      </c>
      <c r="L66">
        <f t="shared" si="9"/>
        <v>60543</v>
      </c>
      <c r="M66" t="str">
        <f t="shared" si="10"/>
        <v>sf</v>
      </c>
      <c r="N66">
        <f t="shared" si="11"/>
        <v>12.868424554062548</v>
      </c>
      <c r="O66">
        <f t="shared" si="12"/>
        <v>779093.02777660883</v>
      </c>
      <c r="P66" t="str">
        <f t="shared" si="13"/>
        <v>V3</v>
      </c>
    </row>
    <row r="67" spans="2:16" x14ac:dyDescent="0.45">
      <c r="B67" t="str">
        <v>1.4.2</v>
      </c>
      <c r="C67" t="str">
        <v>Apply fluild-applied air &amp; vapor barrier</v>
      </c>
      <c r="D67">
        <v>60543</v>
      </c>
      <c r="E67" t="str">
        <v>sf</v>
      </c>
      <c r="F67">
        <v>14.644653895871786</v>
      </c>
      <c r="G67">
        <v>886631.28081776551</v>
      </c>
      <c r="H67" t="str">
        <v>V3</v>
      </c>
      <c r="J67" t="str">
        <f t="shared" ref="J67:J83" si="14">B67</f>
        <v>1.4.2</v>
      </c>
      <c r="K67" t="str">
        <f t="shared" ref="K67:K83" si="15">C67</f>
        <v>Apply fluild-applied air &amp; vapor barrier</v>
      </c>
      <c r="L67">
        <f t="shared" ref="L67:L83" si="16">D67</f>
        <v>60543</v>
      </c>
      <c r="M67" t="str">
        <f t="shared" ref="M67:M83" si="17">E67</f>
        <v>sf</v>
      </c>
      <c r="N67">
        <f t="shared" ref="N67:N83" si="18">F67</f>
        <v>14.644653895871786</v>
      </c>
      <c r="O67">
        <f t="shared" ref="O67:O83" si="19">G67</f>
        <v>886631.28081776551</v>
      </c>
      <c r="P67" t="str">
        <f t="shared" ref="P67:P83" si="20">H67</f>
        <v>V3</v>
      </c>
    </row>
    <row r="68" spans="2:16" x14ac:dyDescent="0.45">
      <c r="B68" t="str">
        <v>1.4.3</v>
      </c>
      <c r="C68" t="str">
        <v>Install drip edge head flashings</v>
      </c>
      <c r="D68">
        <v>1400</v>
      </c>
      <c r="E68" t="str">
        <v>lf</v>
      </c>
      <c r="F68">
        <v>26.701017443649761</v>
      </c>
      <c r="G68">
        <v>37381.424421109667</v>
      </c>
      <c r="H68" t="str">
        <v>V3</v>
      </c>
      <c r="J68" t="str">
        <f t="shared" si="14"/>
        <v>1.4.3</v>
      </c>
      <c r="K68" t="str">
        <f t="shared" si="15"/>
        <v>Install drip edge head flashings</v>
      </c>
      <c r="L68">
        <f t="shared" si="16"/>
        <v>1400</v>
      </c>
      <c r="M68" t="str">
        <f t="shared" si="17"/>
        <v>lf</v>
      </c>
      <c r="N68">
        <f t="shared" si="18"/>
        <v>26.701017443649761</v>
      </c>
      <c r="O68">
        <f t="shared" si="19"/>
        <v>37381.424421109667</v>
      </c>
      <c r="P68" t="str">
        <f t="shared" si="20"/>
        <v>V3</v>
      </c>
    </row>
    <row r="69" spans="2:16" x14ac:dyDescent="0.45">
      <c r="B69" t="str">
        <v>1.4.4</v>
      </c>
      <c r="C69" t="str">
        <v>Install perimeter metal flashings around curtain wall</v>
      </c>
      <c r="D69">
        <v>1650</v>
      </c>
      <c r="E69" t="str">
        <v>lf</v>
      </c>
      <c r="F69">
        <v>59.662064053300519</v>
      </c>
      <c r="G69">
        <v>98442.405687945851</v>
      </c>
      <c r="H69" t="str">
        <v>V3</v>
      </c>
      <c r="J69" t="str">
        <f t="shared" si="14"/>
        <v>1.4.4</v>
      </c>
      <c r="K69" t="str">
        <f t="shared" si="15"/>
        <v>Install perimeter metal flashings around curtain wall</v>
      </c>
      <c r="L69">
        <f t="shared" si="16"/>
        <v>1650</v>
      </c>
      <c r="M69" t="str">
        <f t="shared" si="17"/>
        <v>lf</v>
      </c>
      <c r="N69">
        <f t="shared" si="18"/>
        <v>59.662064053300519</v>
      </c>
      <c r="O69">
        <f t="shared" si="19"/>
        <v>98442.405687945851</v>
      </c>
      <c r="P69" t="str">
        <f t="shared" si="20"/>
        <v>V3</v>
      </c>
    </row>
    <row r="70" spans="2:16" x14ac:dyDescent="0.45">
      <c r="B70" t="str">
        <v>1.4.5</v>
      </c>
      <c r="C70" t="str">
        <v>Install new perimeter T-Flashing</v>
      </c>
      <c r="D70">
        <v>3550</v>
      </c>
      <c r="E70" t="str">
        <v>lf</v>
      </c>
      <c r="F70">
        <v>29.755882005991737</v>
      </c>
      <c r="G70">
        <v>105633.38112127066</v>
      </c>
      <c r="H70" t="str">
        <v>V3</v>
      </c>
      <c r="J70" t="str">
        <f t="shared" si="14"/>
        <v>1.4.5</v>
      </c>
      <c r="K70" t="str">
        <f t="shared" si="15"/>
        <v>Install new perimeter T-Flashing</v>
      </c>
      <c r="L70">
        <f t="shared" si="16"/>
        <v>3550</v>
      </c>
      <c r="M70" t="str">
        <f t="shared" si="17"/>
        <v>lf</v>
      </c>
      <c r="N70">
        <f t="shared" si="18"/>
        <v>29.755882005991737</v>
      </c>
      <c r="O70">
        <f t="shared" si="19"/>
        <v>105633.38112127066</v>
      </c>
      <c r="P70" t="str">
        <f t="shared" si="20"/>
        <v>V3</v>
      </c>
    </row>
    <row r="71" spans="2:16" x14ac:dyDescent="0.45">
      <c r="B71" t="str">
        <v>1.4.6</v>
      </c>
      <c r="C71" t="str">
        <v>Counter flashing T-Flashing</v>
      </c>
      <c r="D71">
        <v>3550</v>
      </c>
      <c r="E71" t="str">
        <v>lf</v>
      </c>
      <c r="F71">
        <v>29.755882005991737</v>
      </c>
      <c r="G71">
        <v>105633.38112127066</v>
      </c>
      <c r="H71" t="str">
        <v>V3</v>
      </c>
      <c r="J71" t="str">
        <f t="shared" si="14"/>
        <v>1.4.6</v>
      </c>
      <c r="K71" t="str">
        <f t="shared" si="15"/>
        <v>Counter flashing T-Flashing</v>
      </c>
      <c r="L71">
        <f t="shared" si="16"/>
        <v>3550</v>
      </c>
      <c r="M71" t="str">
        <f t="shared" si="17"/>
        <v>lf</v>
      </c>
      <c r="N71">
        <f t="shared" si="18"/>
        <v>29.755882005991737</v>
      </c>
      <c r="O71">
        <f t="shared" si="19"/>
        <v>105633.38112127066</v>
      </c>
      <c r="P71" t="str">
        <f t="shared" si="20"/>
        <v>V3</v>
      </c>
    </row>
    <row r="72" spans="2:16" x14ac:dyDescent="0.45">
      <c r="B72" t="str">
        <v>1.4.7</v>
      </c>
      <c r="C72" t="str">
        <v>Apply primary &amp; secondary sealants per original project specifications</v>
      </c>
      <c r="D72">
        <v>12340</v>
      </c>
      <c r="E72" t="str">
        <v>lf</v>
      </c>
      <c r="F72">
        <v>14.425130275731325</v>
      </c>
      <c r="G72">
        <v>178006.10760252454</v>
      </c>
      <c r="H72" t="str">
        <v>V3</v>
      </c>
      <c r="J72" t="str">
        <f t="shared" si="14"/>
        <v>1.4.7</v>
      </c>
      <c r="K72" t="str">
        <f t="shared" si="15"/>
        <v>Apply primary &amp; secondary sealants per original project specifications</v>
      </c>
      <c r="L72">
        <f t="shared" si="16"/>
        <v>12340</v>
      </c>
      <c r="M72" t="str">
        <f t="shared" si="17"/>
        <v>lf</v>
      </c>
      <c r="N72">
        <f t="shared" si="18"/>
        <v>14.425130275731325</v>
      </c>
      <c r="O72">
        <f t="shared" si="19"/>
        <v>178006.10760252454</v>
      </c>
      <c r="P72" t="str">
        <f t="shared" si="20"/>
        <v>V3</v>
      </c>
    </row>
    <row r="73" spans="2:16" x14ac:dyDescent="0.45">
      <c r="B73" t="str">
        <v>1.4.8</v>
      </c>
      <c r="C73" t="str">
        <v>Replace ACM panels</v>
      </c>
      <c r="D73">
        <v>5562</v>
      </c>
      <c r="E73" t="str">
        <v>sf</v>
      </c>
      <c r="F73">
        <v>121.01994678028061</v>
      </c>
      <c r="G73">
        <v>673112.94399192068</v>
      </c>
      <c r="H73" t="str">
        <v>V3</v>
      </c>
      <c r="J73" t="str">
        <f t="shared" si="14"/>
        <v>1.4.8</v>
      </c>
      <c r="K73" t="str">
        <f t="shared" si="15"/>
        <v>Replace ACM panels</v>
      </c>
      <c r="L73">
        <f t="shared" si="16"/>
        <v>5562</v>
      </c>
      <c r="M73" t="str">
        <f t="shared" si="17"/>
        <v>sf</v>
      </c>
      <c r="N73">
        <f t="shared" si="18"/>
        <v>121.01994678028061</v>
      </c>
      <c r="O73">
        <f t="shared" si="19"/>
        <v>673112.94399192068</v>
      </c>
      <c r="P73" t="str">
        <f t="shared" si="20"/>
        <v>V3</v>
      </c>
    </row>
    <row r="74" spans="2:16" x14ac:dyDescent="0.45">
      <c r="B74" t="str">
        <v>1.4.9</v>
      </c>
      <c r="C74" t="str">
        <v>Repalce parapet coping cap</v>
      </c>
      <c r="D74">
        <v>2250</v>
      </c>
      <c r="E74" t="str">
        <v>lf</v>
      </c>
      <c r="F74">
        <v>84.593125058930383</v>
      </c>
      <c r="G74">
        <v>190334.53138259336</v>
      </c>
      <c r="H74" t="str">
        <v>V3</v>
      </c>
      <c r="J74" t="str">
        <f t="shared" si="14"/>
        <v>1.4.9</v>
      </c>
      <c r="K74" t="str">
        <f t="shared" si="15"/>
        <v>Repalce parapet coping cap</v>
      </c>
      <c r="L74">
        <f t="shared" si="16"/>
        <v>2250</v>
      </c>
      <c r="M74" t="str">
        <f t="shared" si="17"/>
        <v>lf</v>
      </c>
      <c r="N74">
        <f t="shared" si="18"/>
        <v>84.593125058930383</v>
      </c>
      <c r="O74">
        <f t="shared" si="19"/>
        <v>190334.53138259336</v>
      </c>
      <c r="P74" t="str">
        <f t="shared" si="20"/>
        <v>V3</v>
      </c>
    </row>
    <row r="75" spans="2:16" x14ac:dyDescent="0.45">
      <c r="B75" t="str">
        <v>1.5</v>
      </c>
      <c r="C75" t="str">
        <v>08 00 00 - Openings</v>
      </c>
      <c r="D75">
        <v>0</v>
      </c>
      <c r="E75">
        <v>0</v>
      </c>
      <c r="F75">
        <v>0</v>
      </c>
      <c r="G75">
        <v>289205.17575658852</v>
      </c>
      <c r="H75" t="str">
        <v>V3</v>
      </c>
      <c r="J75" t="str">
        <f t="shared" si="14"/>
        <v>1.5</v>
      </c>
      <c r="K75" t="str">
        <f t="shared" si="15"/>
        <v>08 00 00 - Openings</v>
      </c>
      <c r="L75">
        <f t="shared" si="16"/>
        <v>0</v>
      </c>
      <c r="M75">
        <f t="shared" si="17"/>
        <v>0</v>
      </c>
      <c r="N75">
        <f t="shared" si="18"/>
        <v>0</v>
      </c>
      <c r="O75">
        <f t="shared" si="19"/>
        <v>289205.17575658852</v>
      </c>
      <c r="P75" t="str">
        <f t="shared" si="20"/>
        <v>V3</v>
      </c>
    </row>
    <row r="76" spans="2:16" x14ac:dyDescent="0.45">
      <c r="B76" t="str">
        <v>1.5.1</v>
      </c>
      <c r="C76" t="str">
        <v>Remove &amp; replace glazed door assemblies</v>
      </c>
      <c r="D76">
        <v>10</v>
      </c>
      <c r="E76" t="str">
        <v>ea</v>
      </c>
      <c r="F76">
        <v>7754.5221830082355</v>
      </c>
      <c r="G76">
        <v>77545.221830082359</v>
      </c>
      <c r="H76" t="str">
        <v>V3</v>
      </c>
      <c r="J76" t="str">
        <f t="shared" si="14"/>
        <v>1.5.1</v>
      </c>
      <c r="K76" t="str">
        <f t="shared" si="15"/>
        <v>Remove &amp; replace glazed door assemblies</v>
      </c>
      <c r="L76">
        <f t="shared" si="16"/>
        <v>10</v>
      </c>
      <c r="M76" t="str">
        <f t="shared" si="17"/>
        <v>ea</v>
      </c>
      <c r="N76">
        <f t="shared" si="18"/>
        <v>7754.5221830082355</v>
      </c>
      <c r="O76">
        <f t="shared" si="19"/>
        <v>77545.221830082359</v>
      </c>
      <c r="P76" t="str">
        <f t="shared" si="20"/>
        <v>V3</v>
      </c>
    </row>
    <row r="77" spans="2:16" x14ac:dyDescent="0.45">
      <c r="B77" t="str">
        <v>1.5.2</v>
      </c>
      <c r="C77" t="str">
        <v>Install exterior door sweeps</v>
      </c>
      <c r="D77">
        <v>20</v>
      </c>
      <c r="E77" t="str">
        <v>ea</v>
      </c>
      <c r="F77">
        <v>1180.8682064872953</v>
      </c>
      <c r="G77">
        <v>23617.364129745907</v>
      </c>
      <c r="H77" t="str">
        <v>V3</v>
      </c>
      <c r="J77" t="str">
        <f t="shared" si="14"/>
        <v>1.5.2</v>
      </c>
      <c r="K77" t="str">
        <f t="shared" si="15"/>
        <v>Install exterior door sweeps</v>
      </c>
      <c r="L77">
        <f t="shared" si="16"/>
        <v>20</v>
      </c>
      <c r="M77" t="str">
        <f t="shared" si="17"/>
        <v>ea</v>
      </c>
      <c r="N77">
        <f t="shared" si="18"/>
        <v>1180.8682064872953</v>
      </c>
      <c r="O77">
        <f t="shared" si="19"/>
        <v>23617.364129745907</v>
      </c>
      <c r="P77" t="str">
        <f t="shared" si="20"/>
        <v>V3</v>
      </c>
    </row>
    <row r="78" spans="2:16" x14ac:dyDescent="0.45">
      <c r="B78" t="str">
        <v>1.5.3</v>
      </c>
      <c r="C78" t="str">
        <v>Adjust doors</v>
      </c>
      <c r="D78">
        <v>20</v>
      </c>
      <c r="E78" t="str">
        <v>ea</v>
      </c>
      <c r="F78">
        <v>1547.760222867257</v>
      </c>
      <c r="G78">
        <v>30955.204457345139</v>
      </c>
      <c r="H78" t="str">
        <v>V3</v>
      </c>
      <c r="J78" t="str">
        <f t="shared" si="14"/>
        <v>1.5.3</v>
      </c>
      <c r="K78" t="str">
        <f t="shared" si="15"/>
        <v>Adjust doors</v>
      </c>
      <c r="L78">
        <f t="shared" si="16"/>
        <v>20</v>
      </c>
      <c r="M78" t="str">
        <f t="shared" si="17"/>
        <v>ea</v>
      </c>
      <c r="N78">
        <f t="shared" si="18"/>
        <v>1547.760222867257</v>
      </c>
      <c r="O78">
        <f t="shared" si="19"/>
        <v>30955.204457345139</v>
      </c>
      <c r="P78" t="str">
        <f t="shared" si="20"/>
        <v>V3</v>
      </c>
    </row>
    <row r="79" spans="2:16" x14ac:dyDescent="0.45">
      <c r="B79" t="str">
        <v>1.5.4</v>
      </c>
      <c r="C79" t="str">
        <v>Install window &amp; glazing sealants</v>
      </c>
      <c r="D79">
        <v>20100</v>
      </c>
      <c r="E79" t="str">
        <v>lf</v>
      </c>
      <c r="F79">
        <v>7.8152928029559758</v>
      </c>
      <c r="G79">
        <v>157087.38533941511</v>
      </c>
      <c r="H79" t="str">
        <v>V3</v>
      </c>
      <c r="J79" t="str">
        <f t="shared" si="14"/>
        <v>1.5.4</v>
      </c>
      <c r="K79" t="str">
        <f t="shared" si="15"/>
        <v>Install window &amp; glazing sealants</v>
      </c>
      <c r="L79">
        <f t="shared" si="16"/>
        <v>20100</v>
      </c>
      <c r="M79" t="str">
        <f t="shared" si="17"/>
        <v>lf</v>
      </c>
      <c r="N79">
        <f t="shared" si="18"/>
        <v>7.8152928029559758</v>
      </c>
      <c r="O79">
        <f t="shared" si="19"/>
        <v>157087.38533941511</v>
      </c>
      <c r="P79" t="str">
        <f t="shared" si="20"/>
        <v>V3</v>
      </c>
    </row>
    <row r="80" spans="2:16" x14ac:dyDescent="0.45">
      <c r="B80" t="str">
        <v>1.6</v>
      </c>
      <c r="C80" t="str">
        <v>09 00 00 - Finishes</v>
      </c>
      <c r="D80">
        <v>0</v>
      </c>
      <c r="E80">
        <v>0</v>
      </c>
      <c r="F80">
        <v>0</v>
      </c>
      <c r="G80">
        <v>1862800.2123754881</v>
      </c>
      <c r="H80" t="str">
        <v>V3</v>
      </c>
      <c r="J80" t="str">
        <f t="shared" si="14"/>
        <v>1.6</v>
      </c>
      <c r="K80" t="str">
        <f t="shared" si="15"/>
        <v>09 00 00 - Finishes</v>
      </c>
      <c r="L80">
        <f t="shared" si="16"/>
        <v>0</v>
      </c>
      <c r="M80">
        <f t="shared" si="17"/>
        <v>0</v>
      </c>
      <c r="N80">
        <f t="shared" si="18"/>
        <v>0</v>
      </c>
      <c r="O80">
        <f t="shared" si="19"/>
        <v>1862800.2123754881</v>
      </c>
      <c r="P80" t="str">
        <f t="shared" si="20"/>
        <v>V3</v>
      </c>
    </row>
    <row r="81" spans="2:16" x14ac:dyDescent="0.45">
      <c r="B81" t="str">
        <v>1.6.1</v>
      </c>
      <c r="C81" t="str">
        <v>Install stucco paper &amp; lath</v>
      </c>
      <c r="D81">
        <v>6109</v>
      </c>
      <c r="E81" t="str">
        <v>sy</v>
      </c>
      <c r="F81">
        <v>67.327191418479018</v>
      </c>
      <c r="G81">
        <v>411301.81237548834</v>
      </c>
      <c r="H81" t="str">
        <v>V3</v>
      </c>
      <c r="J81" t="str">
        <f t="shared" si="14"/>
        <v>1.6.1</v>
      </c>
      <c r="K81" t="str">
        <f t="shared" si="15"/>
        <v>Install stucco paper &amp; lath</v>
      </c>
      <c r="L81">
        <f t="shared" si="16"/>
        <v>6109</v>
      </c>
      <c r="M81" t="str">
        <f t="shared" si="17"/>
        <v>sy</v>
      </c>
      <c r="N81">
        <f t="shared" si="18"/>
        <v>67.327191418479018</v>
      </c>
      <c r="O81">
        <f t="shared" si="19"/>
        <v>411301.81237548834</v>
      </c>
      <c r="P81" t="str">
        <f t="shared" si="20"/>
        <v>V3</v>
      </c>
    </row>
    <row r="82" spans="2:16" x14ac:dyDescent="0.45">
      <c r="B82" t="str">
        <v>1.6.2</v>
      </c>
      <c r="C82" t="str">
        <v>Install stucco system per orignal project specifications</v>
      </c>
      <c r="D82">
        <v>6109</v>
      </c>
      <c r="E82" t="str">
        <v>sy</v>
      </c>
      <c r="F82">
        <v>237.6</v>
      </c>
      <c r="G82">
        <v>1451498.4</v>
      </c>
      <c r="H82" t="str">
        <v>V3</v>
      </c>
      <c r="J82" t="str">
        <f t="shared" si="14"/>
        <v>1.6.2</v>
      </c>
      <c r="K82" t="str">
        <f t="shared" si="15"/>
        <v>Install stucco system per orignal project specifications</v>
      </c>
      <c r="L82">
        <f t="shared" si="16"/>
        <v>6109</v>
      </c>
      <c r="M82" t="str">
        <f t="shared" si="17"/>
        <v>sy</v>
      </c>
      <c r="N82">
        <f t="shared" si="18"/>
        <v>237.6</v>
      </c>
      <c r="O82">
        <f t="shared" si="19"/>
        <v>1451498.4</v>
      </c>
      <c r="P82" t="str">
        <f t="shared" si="20"/>
        <v>V3</v>
      </c>
    </row>
    <row r="83" spans="2:16" x14ac:dyDescent="0.45">
      <c r="B83" t="str">
        <v>1.6.3</v>
      </c>
      <c r="C83" t="str">
        <v>Prime and paint stucco per orignal project specifications</v>
      </c>
      <c r="D83">
        <v>0</v>
      </c>
      <c r="E83" t="str">
        <v>sf</v>
      </c>
      <c r="F83">
        <v>5.1862232409135753</v>
      </c>
      <c r="G83">
        <v>0</v>
      </c>
      <c r="H83" t="str">
        <v>V3</v>
      </c>
      <c r="J83" t="str">
        <f t="shared" si="14"/>
        <v>1.6.3</v>
      </c>
      <c r="K83" t="str">
        <f t="shared" si="15"/>
        <v>Prime and paint stucco per orignal project specifications</v>
      </c>
      <c r="L83">
        <f t="shared" si="16"/>
        <v>0</v>
      </c>
      <c r="M83" t="str">
        <f t="shared" si="17"/>
        <v>sf</v>
      </c>
      <c r="N83">
        <f t="shared" si="18"/>
        <v>5.1862232409135753</v>
      </c>
      <c r="O83">
        <f t="shared" si="19"/>
        <v>0</v>
      </c>
      <c r="P83" t="str">
        <f t="shared" si="20"/>
        <v>V3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C30AA-4354-4C50-A8AF-A3E387C7CC71}">
  <dimension ref="A1:G28"/>
  <sheetViews>
    <sheetView workbookViewId="0">
      <selection sqref="A1:G1"/>
    </sheetView>
  </sheetViews>
  <sheetFormatPr defaultRowHeight="14.25" x14ac:dyDescent="0.45"/>
  <cols>
    <col min="1" max="1" width="6.6640625" bestFit="1" customWidth="1"/>
    <col min="2" max="2" width="56.1328125" bestFit="1" customWidth="1"/>
    <col min="3" max="3" width="5.86328125" bestFit="1" customWidth="1"/>
    <col min="4" max="4" width="7.19921875" bestFit="1" customWidth="1"/>
    <col min="5" max="5" width="11.73046875" bestFit="1" customWidth="1"/>
    <col min="6" max="6" width="14.59765625" bestFit="1" customWidth="1"/>
    <col min="7" max="7" width="8.73046875" bestFit="1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65</v>
      </c>
    </row>
    <row r="2" spans="1:7" x14ac:dyDescent="0.45">
      <c r="A2" t="s">
        <v>6</v>
      </c>
      <c r="B2" t="s">
        <v>7</v>
      </c>
      <c r="F2">
        <v>891359.4550131408</v>
      </c>
      <c r="G2" t="str">
        <f t="shared" ref="G2:G28" si="0">"V1"</f>
        <v>V1</v>
      </c>
    </row>
    <row r="3" spans="1:7" x14ac:dyDescent="0.45">
      <c r="A3" t="s">
        <v>8</v>
      </c>
      <c r="B3" t="s">
        <v>9</v>
      </c>
      <c r="C3">
        <v>1</v>
      </c>
      <c r="D3" t="s">
        <v>10</v>
      </c>
      <c r="E3">
        <v>321903.43430188828</v>
      </c>
      <c r="F3">
        <v>321903.43430188828</v>
      </c>
      <c r="G3" t="str">
        <f t="shared" si="0"/>
        <v>V1</v>
      </c>
    </row>
    <row r="4" spans="1:7" x14ac:dyDescent="0.45">
      <c r="A4" t="s">
        <v>11</v>
      </c>
      <c r="B4" t="s">
        <v>12</v>
      </c>
      <c r="C4">
        <v>1</v>
      </c>
      <c r="D4" t="s">
        <v>10</v>
      </c>
      <c r="E4">
        <v>569456.02071125247</v>
      </c>
      <c r="F4">
        <v>569456.02071125247</v>
      </c>
      <c r="G4" t="str">
        <f t="shared" si="0"/>
        <v>V1</v>
      </c>
    </row>
    <row r="5" spans="1:7" x14ac:dyDescent="0.45">
      <c r="A5" t="s">
        <v>13</v>
      </c>
      <c r="B5" t="s">
        <v>14</v>
      </c>
      <c r="F5">
        <v>1338020.3383071106</v>
      </c>
      <c r="G5" t="str">
        <f t="shared" si="0"/>
        <v>V1</v>
      </c>
    </row>
    <row r="6" spans="1:7" x14ac:dyDescent="0.45">
      <c r="A6" t="s">
        <v>15</v>
      </c>
      <c r="B6" t="s">
        <v>16</v>
      </c>
      <c r="C6">
        <v>6109</v>
      </c>
      <c r="D6" t="s">
        <v>17</v>
      </c>
      <c r="E6">
        <v>94.809303333695624</v>
      </c>
      <c r="F6">
        <v>579190.03406554658</v>
      </c>
      <c r="G6" t="str">
        <f t="shared" si="0"/>
        <v>V1</v>
      </c>
    </row>
    <row r="7" spans="1:7" x14ac:dyDescent="0.45">
      <c r="A7" t="s">
        <v>18</v>
      </c>
      <c r="B7" t="s">
        <v>19</v>
      </c>
      <c r="C7">
        <v>7362</v>
      </c>
      <c r="D7" t="s">
        <v>20</v>
      </c>
      <c r="E7">
        <v>10.759055409501517</v>
      </c>
      <c r="F7">
        <v>79208.165924750167</v>
      </c>
      <c r="G7" t="str">
        <f t="shared" si="0"/>
        <v>V1</v>
      </c>
    </row>
    <row r="8" spans="1:7" x14ac:dyDescent="0.45">
      <c r="A8" t="s">
        <v>21</v>
      </c>
      <c r="B8" t="s">
        <v>22</v>
      </c>
      <c r="C8">
        <v>2250</v>
      </c>
      <c r="D8" t="s">
        <v>23</v>
      </c>
      <c r="E8">
        <v>11.495412642392717</v>
      </c>
      <c r="F8">
        <v>25864.678445383612</v>
      </c>
      <c r="G8" t="str">
        <f t="shared" si="0"/>
        <v>V1</v>
      </c>
    </row>
    <row r="9" spans="1:7" x14ac:dyDescent="0.45">
      <c r="A9" t="s">
        <v>24</v>
      </c>
      <c r="B9" t="s">
        <v>25</v>
      </c>
      <c r="C9">
        <v>62336</v>
      </c>
      <c r="D9" t="s">
        <v>20</v>
      </c>
      <c r="E9">
        <v>10.487638922475462</v>
      </c>
      <c r="F9">
        <v>653757.45987143042</v>
      </c>
      <c r="G9" t="str">
        <f t="shared" si="0"/>
        <v>V1</v>
      </c>
    </row>
    <row r="10" spans="1:7" x14ac:dyDescent="0.45">
      <c r="A10" t="s">
        <v>26</v>
      </c>
      <c r="B10" t="s">
        <v>27</v>
      </c>
      <c r="F10">
        <v>3321435.337788247</v>
      </c>
      <c r="G10" t="str">
        <f t="shared" si="0"/>
        <v>V1</v>
      </c>
    </row>
    <row r="11" spans="1:7" x14ac:dyDescent="0.45">
      <c r="A11" t="s">
        <v>28</v>
      </c>
      <c r="B11" t="s">
        <v>29</v>
      </c>
      <c r="C11">
        <v>62336</v>
      </c>
      <c r="D11" t="s">
        <v>20</v>
      </c>
      <c r="E11">
        <v>12.868424554062548</v>
      </c>
      <c r="F11">
        <v>802166.11300204298</v>
      </c>
      <c r="G11" t="str">
        <f t="shared" si="0"/>
        <v>V1</v>
      </c>
    </row>
    <row r="12" spans="1:7" x14ac:dyDescent="0.45">
      <c r="A12" t="s">
        <v>30</v>
      </c>
      <c r="B12" t="s">
        <v>31</v>
      </c>
      <c r="C12">
        <v>62336</v>
      </c>
      <c r="D12" t="s">
        <v>20</v>
      </c>
      <c r="E12">
        <v>14.644653895871786</v>
      </c>
      <c r="F12">
        <v>912889.14525306365</v>
      </c>
      <c r="G12" t="str">
        <f t="shared" si="0"/>
        <v>V1</v>
      </c>
    </row>
    <row r="13" spans="1:7" x14ac:dyDescent="0.45">
      <c r="A13" t="s">
        <v>32</v>
      </c>
      <c r="B13" t="s">
        <v>33</v>
      </c>
      <c r="C13">
        <v>1400</v>
      </c>
      <c r="D13" t="s">
        <v>23</v>
      </c>
      <c r="E13">
        <v>26.701017443649761</v>
      </c>
      <c r="F13">
        <v>37381.424421109667</v>
      </c>
      <c r="G13" t="str">
        <f t="shared" si="0"/>
        <v>V1</v>
      </c>
    </row>
    <row r="14" spans="1:7" x14ac:dyDescent="0.45">
      <c r="A14" t="s">
        <v>34</v>
      </c>
      <c r="B14" t="s">
        <v>35</v>
      </c>
      <c r="C14">
        <v>1650</v>
      </c>
      <c r="D14" t="s">
        <v>23</v>
      </c>
      <c r="E14">
        <v>59.662064053300519</v>
      </c>
      <c r="F14">
        <v>98442.405687945851</v>
      </c>
      <c r="G14" t="str">
        <f t="shared" si="0"/>
        <v>V1</v>
      </c>
    </row>
    <row r="15" spans="1:7" x14ac:dyDescent="0.45">
      <c r="A15" t="s">
        <v>36</v>
      </c>
      <c r="B15" t="s">
        <v>37</v>
      </c>
      <c r="C15">
        <v>3550</v>
      </c>
      <c r="D15" t="s">
        <v>23</v>
      </c>
      <c r="E15">
        <v>29.755882005991737</v>
      </c>
      <c r="F15">
        <v>105633.38112127066</v>
      </c>
      <c r="G15" t="str">
        <f t="shared" si="0"/>
        <v>V1</v>
      </c>
    </row>
    <row r="16" spans="1:7" x14ac:dyDescent="0.45">
      <c r="A16" t="s">
        <v>38</v>
      </c>
      <c r="B16" t="s">
        <v>39</v>
      </c>
      <c r="C16">
        <v>3550</v>
      </c>
      <c r="D16" t="s">
        <v>23</v>
      </c>
      <c r="E16">
        <v>29.755882005991737</v>
      </c>
      <c r="F16">
        <v>105633.38112127066</v>
      </c>
      <c r="G16" t="str">
        <f t="shared" si="0"/>
        <v>V1</v>
      </c>
    </row>
    <row r="17" spans="1:7" x14ac:dyDescent="0.45">
      <c r="A17" t="s">
        <v>40</v>
      </c>
      <c r="B17" t="s">
        <v>41</v>
      </c>
      <c r="C17">
        <v>12340</v>
      </c>
      <c r="D17" t="s">
        <v>23</v>
      </c>
      <c r="E17">
        <v>14.425130275731325</v>
      </c>
      <c r="F17">
        <v>178006.10760252454</v>
      </c>
      <c r="G17" t="str">
        <f t="shared" si="0"/>
        <v>V1</v>
      </c>
    </row>
    <row r="18" spans="1:7" x14ac:dyDescent="0.45">
      <c r="A18" t="s">
        <v>42</v>
      </c>
      <c r="B18" t="s">
        <v>43</v>
      </c>
      <c r="C18">
        <v>7362</v>
      </c>
      <c r="D18" t="s">
        <v>20</v>
      </c>
      <c r="E18">
        <v>121.01994678028061</v>
      </c>
      <c r="F18">
        <v>890948.84819642582</v>
      </c>
      <c r="G18" t="str">
        <f t="shared" si="0"/>
        <v>V1</v>
      </c>
    </row>
    <row r="19" spans="1:7" x14ac:dyDescent="0.45">
      <c r="A19" t="s">
        <v>44</v>
      </c>
      <c r="B19" t="s">
        <v>45</v>
      </c>
      <c r="C19">
        <v>2250</v>
      </c>
      <c r="D19" t="s">
        <v>23</v>
      </c>
      <c r="E19">
        <v>84.593125058930383</v>
      </c>
      <c r="F19">
        <v>190334.53138259336</v>
      </c>
      <c r="G19" t="str">
        <f t="shared" si="0"/>
        <v>V1</v>
      </c>
    </row>
    <row r="20" spans="1:7" x14ac:dyDescent="0.45">
      <c r="A20" t="s">
        <v>46</v>
      </c>
      <c r="B20" t="s">
        <v>47</v>
      </c>
      <c r="F20">
        <v>341620.92881840246</v>
      </c>
      <c r="G20" t="str">
        <f t="shared" si="0"/>
        <v>V1</v>
      </c>
    </row>
    <row r="21" spans="1:7" x14ac:dyDescent="0.45">
      <c r="A21" t="s">
        <v>48</v>
      </c>
      <c r="B21" t="s">
        <v>49</v>
      </c>
      <c r="C21">
        <v>15</v>
      </c>
      <c r="D21" t="s">
        <v>50</v>
      </c>
      <c r="E21">
        <v>7754.5221830082355</v>
      </c>
      <c r="F21">
        <v>116317.83274512354</v>
      </c>
      <c r="G21" t="str">
        <f t="shared" si="0"/>
        <v>V1</v>
      </c>
    </row>
    <row r="22" spans="1:7" x14ac:dyDescent="0.45">
      <c r="A22" t="s">
        <v>51</v>
      </c>
      <c r="B22" t="s">
        <v>52</v>
      </c>
      <c r="C22">
        <v>25</v>
      </c>
      <c r="D22" t="s">
        <v>50</v>
      </c>
      <c r="E22">
        <v>1180.8682064872953</v>
      </c>
      <c r="F22">
        <v>29521.705162182381</v>
      </c>
      <c r="G22" t="str">
        <f t="shared" si="0"/>
        <v>V1</v>
      </c>
    </row>
    <row r="23" spans="1:7" x14ac:dyDescent="0.45">
      <c r="A23" t="s">
        <v>53</v>
      </c>
      <c r="B23" t="s">
        <v>54</v>
      </c>
      <c r="C23">
        <v>25</v>
      </c>
      <c r="D23" t="s">
        <v>50</v>
      </c>
      <c r="E23">
        <v>1547.760222867257</v>
      </c>
      <c r="F23">
        <v>38694.005571681424</v>
      </c>
      <c r="G23" t="str">
        <f t="shared" si="0"/>
        <v>V1</v>
      </c>
    </row>
    <row r="24" spans="1:7" x14ac:dyDescent="0.45">
      <c r="A24" t="s">
        <v>55</v>
      </c>
      <c r="B24" t="s">
        <v>56</v>
      </c>
      <c r="C24">
        <v>20100</v>
      </c>
      <c r="D24" t="s">
        <v>23</v>
      </c>
      <c r="E24">
        <v>7.8152928029559758</v>
      </c>
      <c r="F24">
        <v>157087.38533941511</v>
      </c>
      <c r="G24" t="str">
        <f t="shared" si="0"/>
        <v>V1</v>
      </c>
    </row>
    <row r="25" spans="1:7" x14ac:dyDescent="0.45">
      <c r="A25" t="s">
        <v>57</v>
      </c>
      <c r="B25" t="s">
        <v>58</v>
      </c>
      <c r="F25">
        <v>2086807.2900730988</v>
      </c>
      <c r="G25" t="str">
        <f t="shared" si="0"/>
        <v>V1</v>
      </c>
    </row>
    <row r="26" spans="1:7" x14ac:dyDescent="0.45">
      <c r="A26" t="s">
        <v>59</v>
      </c>
      <c r="B26" t="s">
        <v>60</v>
      </c>
      <c r="C26">
        <v>6109</v>
      </c>
      <c r="D26" t="s">
        <v>17</v>
      </c>
      <c r="E26">
        <v>67.327191418479018</v>
      </c>
      <c r="F26">
        <v>411301.81237548834</v>
      </c>
      <c r="G26" t="str">
        <f t="shared" si="0"/>
        <v>V1</v>
      </c>
    </row>
    <row r="27" spans="1:7" x14ac:dyDescent="0.45">
      <c r="A27" t="s">
        <v>61</v>
      </c>
      <c r="B27" t="s">
        <v>62</v>
      </c>
      <c r="C27">
        <v>6109</v>
      </c>
      <c r="D27" t="s">
        <v>17</v>
      </c>
      <c r="E27">
        <v>227.59830434631323</v>
      </c>
      <c r="F27">
        <v>1390398.0412516275</v>
      </c>
      <c r="G27" t="str">
        <f t="shared" si="0"/>
        <v>V1</v>
      </c>
    </row>
    <row r="28" spans="1:7" x14ac:dyDescent="0.45">
      <c r="A28" t="s">
        <v>63</v>
      </c>
      <c r="B28" t="s">
        <v>64</v>
      </c>
      <c r="C28">
        <v>54974</v>
      </c>
      <c r="D28" t="s">
        <v>20</v>
      </c>
      <c r="E28">
        <v>5.1862232409135753</v>
      </c>
      <c r="F28">
        <v>285107.43644598289</v>
      </c>
      <c r="G28" t="str">
        <f t="shared" si="0"/>
        <v>V1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DFC09-917C-4B6B-8D94-79FDCEF0322E}">
  <dimension ref="A1:G28"/>
  <sheetViews>
    <sheetView workbookViewId="0">
      <selection activeCell="B30" sqref="B30"/>
    </sheetView>
  </sheetViews>
  <sheetFormatPr defaultRowHeight="14.25" x14ac:dyDescent="0.45"/>
  <cols>
    <col min="1" max="1" width="6.6640625" bestFit="1" customWidth="1"/>
    <col min="2" max="2" width="56.1328125" bestFit="1" customWidth="1"/>
    <col min="3" max="3" width="5.86328125" bestFit="1" customWidth="1"/>
    <col min="4" max="4" width="7.19921875" bestFit="1" customWidth="1"/>
    <col min="5" max="5" width="11.73046875" bestFit="1" customWidth="1"/>
    <col min="6" max="6" width="14.59765625" bestFit="1" customWidth="1"/>
    <col min="7" max="7" width="8.73046875" bestFit="1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65</v>
      </c>
    </row>
    <row r="2" spans="1:7" x14ac:dyDescent="0.45">
      <c r="A2" t="s">
        <v>6</v>
      </c>
      <c r="B2" t="s">
        <v>7</v>
      </c>
      <c r="F2">
        <v>891359.4550131408</v>
      </c>
      <c r="G2" t="str">
        <f t="shared" ref="G2:G28" si="0">"V2"</f>
        <v>V2</v>
      </c>
    </row>
    <row r="3" spans="1:7" x14ac:dyDescent="0.45">
      <c r="A3" t="s">
        <v>8</v>
      </c>
      <c r="B3" t="s">
        <v>9</v>
      </c>
      <c r="C3">
        <v>1</v>
      </c>
      <c r="D3" t="s">
        <v>10</v>
      </c>
      <c r="E3">
        <v>321903.43430188828</v>
      </c>
      <c r="F3">
        <v>321903.43430188828</v>
      </c>
      <c r="G3" t="str">
        <f t="shared" si="0"/>
        <v>V2</v>
      </c>
    </row>
    <row r="4" spans="1:7" x14ac:dyDescent="0.45">
      <c r="A4" t="s">
        <v>11</v>
      </c>
      <c r="B4" t="s">
        <v>12</v>
      </c>
      <c r="C4">
        <v>1</v>
      </c>
      <c r="D4" t="s">
        <v>10</v>
      </c>
      <c r="E4">
        <v>569456.02071125247</v>
      </c>
      <c r="F4">
        <v>569456.02071125247</v>
      </c>
      <c r="G4" t="str">
        <f t="shared" si="0"/>
        <v>V2</v>
      </c>
    </row>
    <row r="5" spans="1:7" x14ac:dyDescent="0.45">
      <c r="A5" t="s">
        <v>13</v>
      </c>
      <c r="B5" t="s">
        <v>14</v>
      </c>
      <c r="F5">
        <v>1527841.1645096838</v>
      </c>
      <c r="G5" t="str">
        <f t="shared" si="0"/>
        <v>V2</v>
      </c>
    </row>
    <row r="6" spans="1:7" x14ac:dyDescent="0.45">
      <c r="A6" t="s">
        <v>15</v>
      </c>
      <c r="B6" t="s">
        <v>16</v>
      </c>
      <c r="C6">
        <v>8009</v>
      </c>
      <c r="D6" t="s">
        <v>17</v>
      </c>
      <c r="E6">
        <v>94.809303333695624</v>
      </c>
      <c r="F6">
        <v>759327.7103995682</v>
      </c>
      <c r="G6" t="str">
        <f t="shared" si="0"/>
        <v>V2</v>
      </c>
    </row>
    <row r="7" spans="1:7" x14ac:dyDescent="0.45">
      <c r="A7" t="s">
        <v>18</v>
      </c>
      <c r="B7" t="s">
        <v>19</v>
      </c>
      <c r="C7">
        <v>8262</v>
      </c>
      <c r="D7" t="s">
        <v>20</v>
      </c>
      <c r="E7">
        <v>10.759055409501517</v>
      </c>
      <c r="F7">
        <v>88891.315793301532</v>
      </c>
      <c r="G7" t="str">
        <f t="shared" si="0"/>
        <v>V2</v>
      </c>
    </row>
    <row r="8" spans="1:7" x14ac:dyDescent="0.45">
      <c r="A8" t="s">
        <v>21</v>
      </c>
      <c r="B8" t="s">
        <v>22</v>
      </c>
      <c r="C8">
        <v>2250</v>
      </c>
      <c r="D8" t="s">
        <v>23</v>
      </c>
      <c r="E8">
        <v>11.495412642392717</v>
      </c>
      <c r="F8">
        <v>25864.678445383612</v>
      </c>
      <c r="G8" t="str">
        <f t="shared" si="0"/>
        <v>V2</v>
      </c>
    </row>
    <row r="9" spans="1:7" x14ac:dyDescent="0.45">
      <c r="A9" t="s">
        <v>24</v>
      </c>
      <c r="B9" t="s">
        <v>25</v>
      </c>
      <c r="C9">
        <v>62336</v>
      </c>
      <c r="D9" t="s">
        <v>20</v>
      </c>
      <c r="E9">
        <v>10.487638922475462</v>
      </c>
      <c r="F9">
        <v>653757.45987143042</v>
      </c>
      <c r="G9" t="str">
        <f t="shared" si="0"/>
        <v>V2</v>
      </c>
    </row>
    <row r="10" spans="1:7" x14ac:dyDescent="0.45">
      <c r="A10" t="s">
        <v>26</v>
      </c>
      <c r="B10" t="s">
        <v>27</v>
      </c>
      <c r="F10">
        <v>4021337.1132240347</v>
      </c>
      <c r="G10" t="str">
        <f t="shared" si="0"/>
        <v>V2</v>
      </c>
    </row>
    <row r="11" spans="1:7" x14ac:dyDescent="0.45">
      <c r="A11" t="s">
        <v>28</v>
      </c>
      <c r="B11" t="s">
        <v>29</v>
      </c>
      <c r="C11">
        <v>80343</v>
      </c>
      <c r="D11" t="s">
        <v>20</v>
      </c>
      <c r="E11">
        <v>12.868424554062548</v>
      </c>
      <c r="F11">
        <v>1033887.8339470472</v>
      </c>
      <c r="G11" t="str">
        <f t="shared" si="0"/>
        <v>V2</v>
      </c>
    </row>
    <row r="12" spans="1:7" x14ac:dyDescent="0.45">
      <c r="A12" t="s">
        <v>30</v>
      </c>
      <c r="B12" t="s">
        <v>31</v>
      </c>
      <c r="C12">
        <v>80343</v>
      </c>
      <c r="D12" t="s">
        <v>20</v>
      </c>
      <c r="E12">
        <v>14.644653895871786</v>
      </c>
      <c r="F12">
        <v>1176595.427956027</v>
      </c>
      <c r="G12" t="str">
        <f t="shared" si="0"/>
        <v>V2</v>
      </c>
    </row>
    <row r="13" spans="1:7" x14ac:dyDescent="0.45">
      <c r="A13" t="s">
        <v>32</v>
      </c>
      <c r="B13" t="s">
        <v>33</v>
      </c>
      <c r="C13">
        <v>1500</v>
      </c>
      <c r="D13" t="s">
        <v>23</v>
      </c>
      <c r="E13">
        <v>26.701017443649761</v>
      </c>
      <c r="F13">
        <v>40051.526165474643</v>
      </c>
      <c r="G13" t="str">
        <f t="shared" si="0"/>
        <v>V2</v>
      </c>
    </row>
    <row r="14" spans="1:7" x14ac:dyDescent="0.45">
      <c r="A14" t="s">
        <v>34</v>
      </c>
      <c r="B14" t="s">
        <v>35</v>
      </c>
      <c r="C14">
        <v>1750</v>
      </c>
      <c r="D14" t="s">
        <v>23</v>
      </c>
      <c r="E14">
        <v>59.662064053300519</v>
      </c>
      <c r="F14">
        <v>104408.61209327591</v>
      </c>
      <c r="G14" t="str">
        <f t="shared" si="0"/>
        <v>V2</v>
      </c>
    </row>
    <row r="15" spans="1:7" x14ac:dyDescent="0.45">
      <c r="A15" t="s">
        <v>36</v>
      </c>
      <c r="B15" t="s">
        <v>37</v>
      </c>
      <c r="C15">
        <v>4550</v>
      </c>
      <c r="D15" t="s">
        <v>23</v>
      </c>
      <c r="E15">
        <v>29.755882005991737</v>
      </c>
      <c r="F15">
        <v>135389.26312726241</v>
      </c>
      <c r="G15" t="str">
        <f t="shared" si="0"/>
        <v>V2</v>
      </c>
    </row>
    <row r="16" spans="1:7" x14ac:dyDescent="0.45">
      <c r="A16" t="s">
        <v>38</v>
      </c>
      <c r="B16" t="s">
        <v>39</v>
      </c>
      <c r="C16">
        <v>4550</v>
      </c>
      <c r="D16" t="s">
        <v>23</v>
      </c>
      <c r="E16">
        <v>29.755882005991737</v>
      </c>
      <c r="F16">
        <v>135389.26312726241</v>
      </c>
      <c r="G16" t="str">
        <f t="shared" si="0"/>
        <v>V2</v>
      </c>
    </row>
    <row r="17" spans="1:7" x14ac:dyDescent="0.45">
      <c r="A17" t="s">
        <v>40</v>
      </c>
      <c r="B17" t="s">
        <v>41</v>
      </c>
      <c r="C17">
        <v>14240</v>
      </c>
      <c r="D17" t="s">
        <v>23</v>
      </c>
      <c r="E17">
        <v>14.425130275731325</v>
      </c>
      <c r="F17">
        <v>205413.85512641407</v>
      </c>
      <c r="G17" t="str">
        <f t="shared" si="0"/>
        <v>V2</v>
      </c>
    </row>
    <row r="18" spans="1:7" x14ac:dyDescent="0.45">
      <c r="A18" t="s">
        <v>42</v>
      </c>
      <c r="B18" t="s">
        <v>43</v>
      </c>
      <c r="C18">
        <v>8262</v>
      </c>
      <c r="D18" t="s">
        <v>20</v>
      </c>
      <c r="E18">
        <v>121.01994678028061</v>
      </c>
      <c r="F18">
        <v>999866.80029867834</v>
      </c>
      <c r="G18" t="str">
        <f t="shared" si="0"/>
        <v>V2</v>
      </c>
    </row>
    <row r="19" spans="1:7" x14ac:dyDescent="0.45">
      <c r="A19" t="s">
        <v>44</v>
      </c>
      <c r="B19" t="s">
        <v>45</v>
      </c>
      <c r="C19">
        <v>2250</v>
      </c>
      <c r="D19" t="s">
        <v>23</v>
      </c>
      <c r="E19">
        <v>84.593125058930383</v>
      </c>
      <c r="F19">
        <v>190334.53138259336</v>
      </c>
      <c r="G19" t="str">
        <f t="shared" si="0"/>
        <v>V2</v>
      </c>
    </row>
    <row r="20" spans="1:7" x14ac:dyDescent="0.45">
      <c r="A20" t="s">
        <v>46</v>
      </c>
      <c r="B20" t="s">
        <v>47</v>
      </c>
      <c r="F20">
        <v>394036.68188021641</v>
      </c>
      <c r="G20" t="str">
        <f t="shared" si="0"/>
        <v>V2</v>
      </c>
    </row>
    <row r="21" spans="1:7" x14ac:dyDescent="0.45">
      <c r="A21" t="s">
        <v>48</v>
      </c>
      <c r="B21" t="s">
        <v>49</v>
      </c>
      <c r="C21">
        <v>20</v>
      </c>
      <c r="D21" t="s">
        <v>50</v>
      </c>
      <c r="E21">
        <v>7754.5221830082355</v>
      </c>
      <c r="F21">
        <v>155090.44366016472</v>
      </c>
      <c r="G21" t="str">
        <f t="shared" si="0"/>
        <v>V2</v>
      </c>
    </row>
    <row r="22" spans="1:7" x14ac:dyDescent="0.45">
      <c r="A22" t="s">
        <v>51</v>
      </c>
      <c r="B22" t="s">
        <v>52</v>
      </c>
      <c r="C22">
        <v>30</v>
      </c>
      <c r="D22" t="s">
        <v>50</v>
      </c>
      <c r="E22">
        <v>1180.8682064872953</v>
      </c>
      <c r="F22">
        <v>35426.046194618859</v>
      </c>
      <c r="G22" t="str">
        <f t="shared" si="0"/>
        <v>V2</v>
      </c>
    </row>
    <row r="23" spans="1:7" x14ac:dyDescent="0.45">
      <c r="A23" t="s">
        <v>53</v>
      </c>
      <c r="B23" t="s">
        <v>54</v>
      </c>
      <c r="C23">
        <v>30</v>
      </c>
      <c r="D23" t="s">
        <v>50</v>
      </c>
      <c r="E23">
        <v>1547.760222867257</v>
      </c>
      <c r="F23">
        <v>46432.806686017706</v>
      </c>
      <c r="G23" t="str">
        <f t="shared" si="0"/>
        <v>V2</v>
      </c>
    </row>
    <row r="24" spans="1:7" x14ac:dyDescent="0.45">
      <c r="A24" t="s">
        <v>55</v>
      </c>
      <c r="B24" t="s">
        <v>56</v>
      </c>
      <c r="C24">
        <v>20100</v>
      </c>
      <c r="D24" t="s">
        <v>23</v>
      </c>
      <c r="E24">
        <v>7.8152928029559758</v>
      </c>
      <c r="F24">
        <v>157087.38533941511</v>
      </c>
      <c r="G24" t="str">
        <f t="shared" si="0"/>
        <v>V2</v>
      </c>
    </row>
    <row r="25" spans="1:7" x14ac:dyDescent="0.45">
      <c r="A25" t="s">
        <v>57</v>
      </c>
      <c r="B25" t="s">
        <v>58</v>
      </c>
      <c r="F25">
        <v>2735886.453008513</v>
      </c>
      <c r="G25" t="str">
        <f t="shared" si="0"/>
        <v>V2</v>
      </c>
    </row>
    <row r="26" spans="1:7" x14ac:dyDescent="0.45">
      <c r="A26" t="s">
        <v>59</v>
      </c>
      <c r="B26" t="s">
        <v>60</v>
      </c>
      <c r="C26">
        <v>8009</v>
      </c>
      <c r="D26" t="s">
        <v>17</v>
      </c>
      <c r="E26">
        <v>67.327191418479018</v>
      </c>
      <c r="F26">
        <v>539223.47607059847</v>
      </c>
      <c r="G26" t="str">
        <f t="shared" si="0"/>
        <v>V2</v>
      </c>
    </row>
    <row r="27" spans="1:7" x14ac:dyDescent="0.45">
      <c r="A27" t="s">
        <v>61</v>
      </c>
      <c r="B27" t="s">
        <v>62</v>
      </c>
      <c r="C27">
        <v>8009</v>
      </c>
      <c r="D27" t="s">
        <v>17</v>
      </c>
      <c r="E27">
        <v>227.59830434631323</v>
      </c>
      <c r="F27">
        <v>1822834.8195096226</v>
      </c>
      <c r="G27" t="str">
        <f t="shared" si="0"/>
        <v>V2</v>
      </c>
    </row>
    <row r="28" spans="1:7" x14ac:dyDescent="0.45">
      <c r="A28" t="s">
        <v>63</v>
      </c>
      <c r="B28" t="s">
        <v>64</v>
      </c>
      <c r="C28">
        <v>72081</v>
      </c>
      <c r="D28" t="s">
        <v>20</v>
      </c>
      <c r="E28">
        <v>5.1862232409135753</v>
      </c>
      <c r="F28">
        <v>373828.15742829145</v>
      </c>
      <c r="G28" t="str">
        <f t="shared" si="0"/>
        <v>V2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99BBD-3670-40A7-BB3A-C9CB721CDD8E}">
  <dimension ref="A1:G28"/>
  <sheetViews>
    <sheetView workbookViewId="0">
      <selection activeCell="B30" sqref="B30"/>
    </sheetView>
  </sheetViews>
  <sheetFormatPr defaultRowHeight="14.25" x14ac:dyDescent="0.45"/>
  <cols>
    <col min="1" max="1" width="6.6640625" bestFit="1" customWidth="1"/>
    <col min="2" max="2" width="56.1328125" bestFit="1" customWidth="1"/>
    <col min="3" max="3" width="5.86328125" bestFit="1" customWidth="1"/>
    <col min="4" max="4" width="7.19921875" bestFit="1" customWidth="1"/>
    <col min="5" max="5" width="11.73046875" bestFit="1" customWidth="1"/>
    <col min="6" max="6" width="14.59765625" bestFit="1" customWidth="1"/>
    <col min="7" max="7" width="8.73046875" bestFit="1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65</v>
      </c>
    </row>
    <row r="2" spans="1:7" x14ac:dyDescent="0.45">
      <c r="A2" t="s">
        <v>6</v>
      </c>
      <c r="B2" t="s">
        <v>7</v>
      </c>
      <c r="F2">
        <v>891359.4550131408</v>
      </c>
      <c r="G2" t="str">
        <f t="shared" ref="G2:G28" si="0">"V3"</f>
        <v>V3</v>
      </c>
    </row>
    <row r="3" spans="1:7" x14ac:dyDescent="0.45">
      <c r="A3" t="s">
        <v>8</v>
      </c>
      <c r="B3" t="s">
        <v>9</v>
      </c>
      <c r="C3">
        <v>1</v>
      </c>
      <c r="D3" t="s">
        <v>10</v>
      </c>
      <c r="E3">
        <v>321903.43430188828</v>
      </c>
      <c r="F3">
        <v>321903.43430188828</v>
      </c>
      <c r="G3" t="str">
        <f t="shared" si="0"/>
        <v>V3</v>
      </c>
    </row>
    <row r="4" spans="1:7" x14ac:dyDescent="0.45">
      <c r="A4" t="s">
        <v>11</v>
      </c>
      <c r="B4" t="s">
        <v>12</v>
      </c>
      <c r="C4">
        <v>1</v>
      </c>
      <c r="D4" t="s">
        <v>10</v>
      </c>
      <c r="E4">
        <v>569456.02071125247</v>
      </c>
      <c r="F4">
        <v>569456.02071125247</v>
      </c>
      <c r="G4" t="str">
        <f t="shared" si="0"/>
        <v>V3</v>
      </c>
    </row>
    <row r="5" spans="1:7" x14ac:dyDescent="0.45">
      <c r="A5" t="s">
        <v>13</v>
      </c>
      <c r="B5" t="s">
        <v>14</v>
      </c>
      <c r="F5">
        <v>1299849.7019820095</v>
      </c>
      <c r="G5" t="str">
        <f t="shared" si="0"/>
        <v>V3</v>
      </c>
    </row>
    <row r="6" spans="1:7" x14ac:dyDescent="0.45">
      <c r="A6" t="s">
        <v>15</v>
      </c>
      <c r="B6" t="s">
        <v>16</v>
      </c>
      <c r="C6">
        <v>6109</v>
      </c>
      <c r="D6" t="s">
        <v>17</v>
      </c>
      <c r="E6">
        <v>94.809303333695624</v>
      </c>
      <c r="F6">
        <v>579190.03406554658</v>
      </c>
      <c r="G6" t="str">
        <f t="shared" si="0"/>
        <v>V3</v>
      </c>
    </row>
    <row r="7" spans="1:7" x14ac:dyDescent="0.45">
      <c r="A7" t="s">
        <v>18</v>
      </c>
      <c r="B7" t="s">
        <v>19</v>
      </c>
      <c r="C7">
        <v>5562</v>
      </c>
      <c r="D7" t="s">
        <v>20</v>
      </c>
      <c r="E7">
        <v>10.759055409501517</v>
      </c>
      <c r="F7">
        <v>59841.866187647436</v>
      </c>
      <c r="G7" t="str">
        <f t="shared" si="0"/>
        <v>V3</v>
      </c>
    </row>
    <row r="8" spans="1:7" x14ac:dyDescent="0.45">
      <c r="A8" t="s">
        <v>21</v>
      </c>
      <c r="B8" t="s">
        <v>22</v>
      </c>
      <c r="C8">
        <v>2250</v>
      </c>
      <c r="D8" t="s">
        <v>23</v>
      </c>
      <c r="E8">
        <v>11.495412642392717</v>
      </c>
      <c r="F8">
        <v>25864.678445383612</v>
      </c>
      <c r="G8" t="str">
        <f t="shared" si="0"/>
        <v>V3</v>
      </c>
    </row>
    <row r="9" spans="1:7" x14ac:dyDescent="0.45">
      <c r="A9" t="s">
        <v>24</v>
      </c>
      <c r="B9" t="s">
        <v>25</v>
      </c>
      <c r="C9">
        <v>60543</v>
      </c>
      <c r="D9" t="s">
        <v>20</v>
      </c>
      <c r="E9">
        <v>10.487638922475462</v>
      </c>
      <c r="F9">
        <v>634953.12328343187</v>
      </c>
      <c r="G9" t="str">
        <f t="shared" si="0"/>
        <v>V3</v>
      </c>
    </row>
    <row r="10" spans="1:7" x14ac:dyDescent="0.45">
      <c r="A10" t="s">
        <v>26</v>
      </c>
      <c r="B10" t="s">
        <v>27</v>
      </c>
      <c r="F10">
        <v>3054268.4839230096</v>
      </c>
      <c r="G10" t="str">
        <f t="shared" si="0"/>
        <v>V3</v>
      </c>
    </row>
    <row r="11" spans="1:7" x14ac:dyDescent="0.45">
      <c r="A11" t="s">
        <v>28</v>
      </c>
      <c r="B11" t="s">
        <v>29</v>
      </c>
      <c r="C11">
        <v>60543</v>
      </c>
      <c r="D11" t="s">
        <v>20</v>
      </c>
      <c r="E11">
        <v>12.868424554062548</v>
      </c>
      <c r="F11">
        <v>779093.02777660883</v>
      </c>
      <c r="G11" t="str">
        <f t="shared" si="0"/>
        <v>V3</v>
      </c>
    </row>
    <row r="12" spans="1:7" x14ac:dyDescent="0.45">
      <c r="A12" t="s">
        <v>30</v>
      </c>
      <c r="B12" t="s">
        <v>31</v>
      </c>
      <c r="C12">
        <v>60543</v>
      </c>
      <c r="D12" t="s">
        <v>20</v>
      </c>
      <c r="E12">
        <v>14.644653895871786</v>
      </c>
      <c r="F12">
        <v>886631.28081776551</v>
      </c>
      <c r="G12" t="str">
        <f t="shared" si="0"/>
        <v>V3</v>
      </c>
    </row>
    <row r="13" spans="1:7" x14ac:dyDescent="0.45">
      <c r="A13" t="s">
        <v>32</v>
      </c>
      <c r="B13" t="s">
        <v>33</v>
      </c>
      <c r="C13">
        <v>1400</v>
      </c>
      <c r="D13" t="s">
        <v>23</v>
      </c>
      <c r="E13">
        <v>26.701017443649761</v>
      </c>
      <c r="F13">
        <v>37381.424421109667</v>
      </c>
      <c r="G13" t="str">
        <f t="shared" si="0"/>
        <v>V3</v>
      </c>
    </row>
    <row r="14" spans="1:7" x14ac:dyDescent="0.45">
      <c r="A14" t="s">
        <v>34</v>
      </c>
      <c r="B14" t="s">
        <v>35</v>
      </c>
      <c r="C14">
        <v>1650</v>
      </c>
      <c r="D14" t="s">
        <v>23</v>
      </c>
      <c r="E14">
        <v>59.662064053300519</v>
      </c>
      <c r="F14">
        <v>98442.405687945851</v>
      </c>
      <c r="G14" t="str">
        <f t="shared" si="0"/>
        <v>V3</v>
      </c>
    </row>
    <row r="15" spans="1:7" x14ac:dyDescent="0.45">
      <c r="A15" t="s">
        <v>36</v>
      </c>
      <c r="B15" t="s">
        <v>37</v>
      </c>
      <c r="C15">
        <v>3550</v>
      </c>
      <c r="D15" t="s">
        <v>23</v>
      </c>
      <c r="E15">
        <v>29.755882005991737</v>
      </c>
      <c r="F15">
        <v>105633.38112127066</v>
      </c>
      <c r="G15" t="str">
        <f t="shared" si="0"/>
        <v>V3</v>
      </c>
    </row>
    <row r="16" spans="1:7" x14ac:dyDescent="0.45">
      <c r="A16" t="s">
        <v>38</v>
      </c>
      <c r="B16" t="s">
        <v>39</v>
      </c>
      <c r="C16">
        <v>3550</v>
      </c>
      <c r="D16" t="s">
        <v>23</v>
      </c>
      <c r="E16">
        <v>29.755882005991737</v>
      </c>
      <c r="F16">
        <v>105633.38112127066</v>
      </c>
      <c r="G16" t="str">
        <f t="shared" si="0"/>
        <v>V3</v>
      </c>
    </row>
    <row r="17" spans="1:7" x14ac:dyDescent="0.45">
      <c r="A17" t="s">
        <v>40</v>
      </c>
      <c r="B17" t="s">
        <v>41</v>
      </c>
      <c r="C17">
        <v>12340</v>
      </c>
      <c r="D17" t="s">
        <v>23</v>
      </c>
      <c r="E17">
        <v>14.425130275731325</v>
      </c>
      <c r="F17">
        <v>178006.10760252454</v>
      </c>
      <c r="G17" t="str">
        <f t="shared" si="0"/>
        <v>V3</v>
      </c>
    </row>
    <row r="18" spans="1:7" x14ac:dyDescent="0.45">
      <c r="A18" t="s">
        <v>42</v>
      </c>
      <c r="B18" t="s">
        <v>43</v>
      </c>
      <c r="C18">
        <v>5562</v>
      </c>
      <c r="D18" t="s">
        <v>20</v>
      </c>
      <c r="E18">
        <v>121.01994678028061</v>
      </c>
      <c r="F18">
        <v>673112.94399192068</v>
      </c>
      <c r="G18" t="str">
        <f t="shared" si="0"/>
        <v>V3</v>
      </c>
    </row>
    <row r="19" spans="1:7" x14ac:dyDescent="0.45">
      <c r="A19" t="s">
        <v>44</v>
      </c>
      <c r="B19" t="s">
        <v>45</v>
      </c>
      <c r="C19">
        <v>2250</v>
      </c>
      <c r="D19" t="s">
        <v>23</v>
      </c>
      <c r="E19">
        <v>84.593125058930383</v>
      </c>
      <c r="F19">
        <v>190334.53138259336</v>
      </c>
      <c r="G19" t="str">
        <f t="shared" si="0"/>
        <v>V3</v>
      </c>
    </row>
    <row r="20" spans="1:7" x14ac:dyDescent="0.45">
      <c r="A20" t="s">
        <v>46</v>
      </c>
      <c r="B20" t="s">
        <v>47</v>
      </c>
      <c r="F20">
        <v>289205.17575658852</v>
      </c>
      <c r="G20" t="str">
        <f t="shared" si="0"/>
        <v>V3</v>
      </c>
    </row>
    <row r="21" spans="1:7" x14ac:dyDescent="0.45">
      <c r="A21" t="s">
        <v>48</v>
      </c>
      <c r="B21" t="s">
        <v>49</v>
      </c>
      <c r="C21">
        <v>10</v>
      </c>
      <c r="D21" t="s">
        <v>50</v>
      </c>
      <c r="E21">
        <v>7754.5221830082355</v>
      </c>
      <c r="F21">
        <v>77545.221830082359</v>
      </c>
      <c r="G21" t="str">
        <f t="shared" si="0"/>
        <v>V3</v>
      </c>
    </row>
    <row r="22" spans="1:7" x14ac:dyDescent="0.45">
      <c r="A22" t="s">
        <v>51</v>
      </c>
      <c r="B22" t="s">
        <v>52</v>
      </c>
      <c r="C22">
        <v>20</v>
      </c>
      <c r="D22" t="s">
        <v>50</v>
      </c>
      <c r="E22">
        <v>1180.8682064872953</v>
      </c>
      <c r="F22">
        <v>23617.364129745907</v>
      </c>
      <c r="G22" t="str">
        <f t="shared" si="0"/>
        <v>V3</v>
      </c>
    </row>
    <row r="23" spans="1:7" x14ac:dyDescent="0.45">
      <c r="A23" t="s">
        <v>53</v>
      </c>
      <c r="B23" t="s">
        <v>54</v>
      </c>
      <c r="C23">
        <v>20</v>
      </c>
      <c r="D23" t="s">
        <v>50</v>
      </c>
      <c r="E23">
        <v>1547.760222867257</v>
      </c>
      <c r="F23">
        <v>30955.204457345139</v>
      </c>
      <c r="G23" t="str">
        <f t="shared" si="0"/>
        <v>V3</v>
      </c>
    </row>
    <row r="24" spans="1:7" x14ac:dyDescent="0.45">
      <c r="A24" t="s">
        <v>55</v>
      </c>
      <c r="B24" t="s">
        <v>56</v>
      </c>
      <c r="C24">
        <v>20100</v>
      </c>
      <c r="D24" t="s">
        <v>23</v>
      </c>
      <c r="E24">
        <v>7.8152928029559758</v>
      </c>
      <c r="F24">
        <v>157087.38533941511</v>
      </c>
      <c r="G24" t="str">
        <f t="shared" si="0"/>
        <v>V3</v>
      </c>
    </row>
    <row r="25" spans="1:7" x14ac:dyDescent="0.45">
      <c r="A25" t="s">
        <v>57</v>
      </c>
      <c r="B25" t="s">
        <v>58</v>
      </c>
      <c r="F25">
        <v>1862800.2123754881</v>
      </c>
      <c r="G25" t="str">
        <f t="shared" si="0"/>
        <v>V3</v>
      </c>
    </row>
    <row r="26" spans="1:7" x14ac:dyDescent="0.45">
      <c r="A26" t="s">
        <v>59</v>
      </c>
      <c r="B26" t="s">
        <v>60</v>
      </c>
      <c r="C26">
        <v>6109</v>
      </c>
      <c r="D26" t="s">
        <v>17</v>
      </c>
      <c r="E26">
        <v>67.327191418479018</v>
      </c>
      <c r="F26">
        <v>411301.81237548834</v>
      </c>
      <c r="G26" t="str">
        <f t="shared" si="0"/>
        <v>V3</v>
      </c>
    </row>
    <row r="27" spans="1:7" x14ac:dyDescent="0.45">
      <c r="A27" t="s">
        <v>61</v>
      </c>
      <c r="B27" t="s">
        <v>62</v>
      </c>
      <c r="C27">
        <v>6109</v>
      </c>
      <c r="D27" t="s">
        <v>17</v>
      </c>
      <c r="E27">
        <v>237.6</v>
      </c>
      <c r="F27">
        <v>1451498.4</v>
      </c>
      <c r="G27" t="str">
        <f t="shared" si="0"/>
        <v>V3</v>
      </c>
    </row>
    <row r="28" spans="1:7" x14ac:dyDescent="0.45">
      <c r="A28" t="s">
        <v>63</v>
      </c>
      <c r="B28" t="s">
        <v>64</v>
      </c>
      <c r="C28">
        <v>0</v>
      </c>
      <c r="D28" t="s">
        <v>20</v>
      </c>
      <c r="E28">
        <v>5.1862232409135753</v>
      </c>
      <c r="F28">
        <v>0</v>
      </c>
      <c r="G28" t="str">
        <f t="shared" si="0"/>
        <v>V3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6DA46878-87CD-47B2-90C9-272C8BE21172}">
  <ds:schemaRefs/>
</ds:datastoreItem>
</file>

<file path=customXml/itemProps2.xml><?xml version="1.0" encoding="utf-8"?>
<ds:datastoreItem xmlns:ds="http://schemas.openxmlformats.org/officeDocument/2006/customXml" ds:itemID="{9AEEBFBC-6521-41DA-B6D0-042635BD558A}">
  <ds:schemaRefs/>
</ds:datastoreItem>
</file>

<file path=customXml/itemProps3.xml><?xml version="1.0" encoding="utf-8"?>
<ds:datastoreItem xmlns:ds="http://schemas.openxmlformats.org/officeDocument/2006/customXml" ds:itemID="{F4B3C2A6-2A9E-4F25-A947-11B76ABD8331}">
  <ds:schemaRefs/>
</ds:datastoreItem>
</file>

<file path=customXml/itemProps4.xml><?xml version="1.0" encoding="utf-8"?>
<ds:datastoreItem xmlns:ds="http://schemas.openxmlformats.org/officeDocument/2006/customXml" ds:itemID="{8B7F796B-1A19-4DAB-8630-068561CBA2D2}">
  <ds:schemaRefs/>
</ds:datastoreItem>
</file>

<file path=customXml/itemProps5.xml><?xml version="1.0" encoding="utf-8"?>
<ds:datastoreItem xmlns:ds="http://schemas.openxmlformats.org/officeDocument/2006/customXml" ds:itemID="{F0E69A40-710A-4B9D-8B21-13B5275D5065}">
  <ds:schemaRefs/>
</ds:datastoreItem>
</file>

<file path=customXml/itemProps6.xml><?xml version="1.0" encoding="utf-8"?>
<ds:datastoreItem xmlns:ds="http://schemas.openxmlformats.org/officeDocument/2006/customXml" ds:itemID="{AA170ED3-9801-4F38-9BC4-9CC1EB8B24E4}">
  <ds:schemaRefs/>
</ds:datastoreItem>
</file>

<file path=customXml/itemProps7.xml><?xml version="1.0" encoding="utf-8"?>
<ds:datastoreItem xmlns:ds="http://schemas.openxmlformats.org/officeDocument/2006/customXml" ds:itemID="{66785853-A4A9-4C29-BC08-7CE3795B3506}">
  <ds:schemaRefs/>
</ds:datastoreItem>
</file>

<file path=customXml/itemProps8.xml><?xml version="1.0" encoding="utf-8"?>
<ds:datastoreItem xmlns:ds="http://schemas.openxmlformats.org/officeDocument/2006/customXml" ds:itemID="{56BEA2FA-B515-4B99-8993-E60A590D6796}">
  <ds:schemaRefs/>
</ds:datastoreItem>
</file>

<file path=customXml/itemProps9.xml><?xml version="1.0" encoding="utf-8"?>
<ds:datastoreItem xmlns:ds="http://schemas.openxmlformats.org/officeDocument/2006/customXml" ds:itemID="{B3B510DE-65F8-475B-907F-D0F0926EB059}">
  <ds:schemaRefs/>
</ds:datastoreItem>
</file>

<file path=customXml/itemProps10.xml><?xml version="1.0" encoding="utf-8"?>
<ds:datastoreItem xmlns:ds="http://schemas.openxmlformats.org/officeDocument/2006/customXml" ds:itemID="{D0533BF6-D47D-4D45-96BF-038120E994B4}">
  <ds:schemaRefs/>
</ds:datastoreItem>
</file>

<file path=customXml/itemProps11.xml><?xml version="1.0" encoding="utf-8"?>
<ds:datastoreItem xmlns:ds="http://schemas.openxmlformats.org/officeDocument/2006/customXml" ds:itemID="{C839C5BD-5E5E-4E9D-94E5-E14EE1500E48}">
  <ds:schemaRefs/>
</ds:datastoreItem>
</file>

<file path=customXml/itemProps12.xml><?xml version="1.0" encoding="utf-8"?>
<ds:datastoreItem xmlns:ds="http://schemas.openxmlformats.org/officeDocument/2006/customXml" ds:itemID="{1F6C8E1F-C2E3-4F17-B79F-4F4C26BDDE3F}">
  <ds:schemaRefs/>
</ds:datastoreItem>
</file>

<file path=customXml/itemProps13.xml><?xml version="1.0" encoding="utf-8"?>
<ds:datastoreItem xmlns:ds="http://schemas.openxmlformats.org/officeDocument/2006/customXml" ds:itemID="{F8D6CF8B-4419-425B-A861-F684E98525F9}">
  <ds:schemaRefs/>
</ds:datastoreItem>
</file>

<file path=customXml/itemProps14.xml><?xml version="1.0" encoding="utf-8"?>
<ds:datastoreItem xmlns:ds="http://schemas.openxmlformats.org/officeDocument/2006/customXml" ds:itemID="{A5298E87-7C40-4B17-B112-E61C2355BEFB}">
  <ds:schemaRefs/>
</ds:datastoreItem>
</file>

<file path=customXml/itemProps15.xml><?xml version="1.0" encoding="utf-8"?>
<ds:datastoreItem xmlns:ds="http://schemas.openxmlformats.org/officeDocument/2006/customXml" ds:itemID="{43E9335F-C071-4C35-AF77-4EFB7D11170D}">
  <ds:schemaRefs/>
</ds:datastoreItem>
</file>

<file path=customXml/itemProps16.xml><?xml version="1.0" encoding="utf-8"?>
<ds:datastoreItem xmlns:ds="http://schemas.openxmlformats.org/officeDocument/2006/customXml" ds:itemID="{7DEFC119-F413-472F-B660-E2E83C85F7B3}">
  <ds:schemaRefs/>
</ds:datastoreItem>
</file>

<file path=customXml/itemProps17.xml><?xml version="1.0" encoding="utf-8"?>
<ds:datastoreItem xmlns:ds="http://schemas.openxmlformats.org/officeDocument/2006/customXml" ds:itemID="{13B26945-01B1-443A-A4DB-03F58058F32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Ribbon</vt:lpstr>
      <vt:lpstr>budget_v1</vt:lpstr>
      <vt:lpstr>budget_v2</vt:lpstr>
      <vt:lpstr>budget_v3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Hopkins</dc:creator>
  <cp:lastModifiedBy>David Hopkins</cp:lastModifiedBy>
  <dcterms:created xsi:type="dcterms:W3CDTF">2015-06-05T18:17:20Z</dcterms:created>
  <dcterms:modified xsi:type="dcterms:W3CDTF">2026-07-16T00:49:58Z</dcterms:modified>
</cp:coreProperties>
</file>