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D731559E-44F3-4CFA-BAA7-84A03E8864CA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Estimate-Schedule" sheetId="1" r:id="rId1"/>
    <sheet name="Cashflow (on time)" sheetId="2" r:id="rId2"/>
    <sheet name="Cashflow (behind)" sheetId="4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C248" i="4" l="1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D248" i="4"/>
  <c r="D249" i="4"/>
  <c r="D250" i="4"/>
  <c r="D251" i="4"/>
  <c r="D252" i="4"/>
  <c r="H252" i="4" s="1"/>
  <c r="D253" i="4"/>
  <c r="D254" i="4"/>
  <c r="D255" i="4"/>
  <c r="D256" i="4"/>
  <c r="D257" i="4"/>
  <c r="H257" i="4" s="1"/>
  <c r="D258" i="4"/>
  <c r="D259" i="4"/>
  <c r="D260" i="4"/>
  <c r="H260" i="4" s="1"/>
  <c r="D261" i="4"/>
  <c r="D262" i="4"/>
  <c r="D263" i="4"/>
  <c r="D264" i="4"/>
  <c r="D265" i="4"/>
  <c r="D266" i="4"/>
  <c r="D267" i="4"/>
  <c r="D268" i="4"/>
  <c r="H268" i="4" s="1"/>
  <c r="D269" i="4"/>
  <c r="D270" i="4"/>
  <c r="D271" i="4"/>
  <c r="D272" i="4"/>
  <c r="D273" i="4"/>
  <c r="H273" i="4" s="1"/>
  <c r="D274" i="4"/>
  <c r="D275" i="4"/>
  <c r="D276" i="4"/>
  <c r="H276" i="4" s="1"/>
  <c r="D27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H248" i="4"/>
  <c r="H249" i="4"/>
  <c r="H256" i="4"/>
  <c r="H264" i="4"/>
  <c r="H265" i="4"/>
  <c r="H272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47" i="4"/>
  <c r="G247" i="4"/>
  <c r="F247" i="4"/>
  <c r="E247" i="4"/>
  <c r="D247" i="4"/>
  <c r="C247" i="4"/>
  <c r="I246" i="4"/>
  <c r="G246" i="4"/>
  <c r="F246" i="4"/>
  <c r="E246" i="4"/>
  <c r="D246" i="4"/>
  <c r="C246" i="4"/>
  <c r="I245" i="4"/>
  <c r="G245" i="4"/>
  <c r="F245" i="4"/>
  <c r="E245" i="4"/>
  <c r="D245" i="4"/>
  <c r="C245" i="4"/>
  <c r="I244" i="4"/>
  <c r="G244" i="4"/>
  <c r="F244" i="4"/>
  <c r="E244" i="4"/>
  <c r="D244" i="4"/>
  <c r="C244" i="4"/>
  <c r="I243" i="4"/>
  <c r="G243" i="4"/>
  <c r="F243" i="4"/>
  <c r="E243" i="4"/>
  <c r="D243" i="4"/>
  <c r="C243" i="4"/>
  <c r="I242" i="4"/>
  <c r="G242" i="4"/>
  <c r="F242" i="4"/>
  <c r="E242" i="4"/>
  <c r="D242" i="4"/>
  <c r="C242" i="4"/>
  <c r="I241" i="4"/>
  <c r="G241" i="4"/>
  <c r="F241" i="4"/>
  <c r="E241" i="4"/>
  <c r="D241" i="4"/>
  <c r="C241" i="4"/>
  <c r="I240" i="4"/>
  <c r="G240" i="4"/>
  <c r="F240" i="4"/>
  <c r="E240" i="4"/>
  <c r="D240" i="4"/>
  <c r="C240" i="4"/>
  <c r="I239" i="4"/>
  <c r="G239" i="4"/>
  <c r="F239" i="4"/>
  <c r="E239" i="4"/>
  <c r="D239" i="4"/>
  <c r="C239" i="4"/>
  <c r="I238" i="4"/>
  <c r="G238" i="4"/>
  <c r="F238" i="4"/>
  <c r="E238" i="4"/>
  <c r="D238" i="4"/>
  <c r="C238" i="4"/>
  <c r="H238" i="4" s="1"/>
  <c r="I237" i="4"/>
  <c r="G237" i="4"/>
  <c r="F237" i="4"/>
  <c r="E237" i="4"/>
  <c r="D237" i="4"/>
  <c r="C237" i="4"/>
  <c r="I236" i="4"/>
  <c r="G236" i="4"/>
  <c r="F236" i="4"/>
  <c r="E236" i="4"/>
  <c r="D236" i="4"/>
  <c r="C236" i="4"/>
  <c r="H236" i="4" s="1"/>
  <c r="I235" i="4"/>
  <c r="G235" i="4"/>
  <c r="F235" i="4"/>
  <c r="E235" i="4"/>
  <c r="D235" i="4"/>
  <c r="C235" i="4"/>
  <c r="I234" i="4"/>
  <c r="G234" i="4"/>
  <c r="F234" i="4"/>
  <c r="E234" i="4"/>
  <c r="D234" i="4"/>
  <c r="C234" i="4"/>
  <c r="H234" i="4" s="1"/>
  <c r="I233" i="4"/>
  <c r="G233" i="4"/>
  <c r="F233" i="4"/>
  <c r="E233" i="4"/>
  <c r="D233" i="4"/>
  <c r="C233" i="4"/>
  <c r="I232" i="4"/>
  <c r="G232" i="4"/>
  <c r="F232" i="4"/>
  <c r="E232" i="4"/>
  <c r="D232" i="4"/>
  <c r="C232" i="4"/>
  <c r="H232" i="4" s="1"/>
  <c r="I231" i="4"/>
  <c r="G231" i="4"/>
  <c r="F231" i="4"/>
  <c r="E231" i="4"/>
  <c r="D231" i="4"/>
  <c r="C231" i="4"/>
  <c r="I230" i="4"/>
  <c r="G230" i="4"/>
  <c r="F230" i="4"/>
  <c r="E230" i="4"/>
  <c r="D230" i="4"/>
  <c r="C230" i="4"/>
  <c r="H230" i="4" s="1"/>
  <c r="I229" i="4"/>
  <c r="G229" i="4"/>
  <c r="F229" i="4"/>
  <c r="E229" i="4"/>
  <c r="D229" i="4"/>
  <c r="C229" i="4"/>
  <c r="I228" i="4"/>
  <c r="G228" i="4"/>
  <c r="F228" i="4"/>
  <c r="E228" i="4"/>
  <c r="D228" i="4"/>
  <c r="C228" i="4"/>
  <c r="I227" i="4"/>
  <c r="G227" i="4"/>
  <c r="F227" i="4"/>
  <c r="E227" i="4"/>
  <c r="D227" i="4"/>
  <c r="C227" i="4"/>
  <c r="I226" i="4"/>
  <c r="G226" i="4"/>
  <c r="F226" i="4"/>
  <c r="E226" i="4"/>
  <c r="D226" i="4"/>
  <c r="H226" i="4" s="1"/>
  <c r="C226" i="4"/>
  <c r="I225" i="4"/>
  <c r="G225" i="4"/>
  <c r="F225" i="4"/>
  <c r="E225" i="4"/>
  <c r="D225" i="4"/>
  <c r="C225" i="4"/>
  <c r="I224" i="4"/>
  <c r="G224" i="4"/>
  <c r="F224" i="4"/>
  <c r="E224" i="4"/>
  <c r="D224" i="4"/>
  <c r="H224" i="4" s="1"/>
  <c r="C224" i="4"/>
  <c r="I223" i="4"/>
  <c r="G223" i="4"/>
  <c r="F223" i="4"/>
  <c r="E223" i="4"/>
  <c r="D223" i="4"/>
  <c r="C223" i="4"/>
  <c r="I222" i="4"/>
  <c r="G222" i="4"/>
  <c r="F222" i="4"/>
  <c r="E222" i="4"/>
  <c r="D222" i="4"/>
  <c r="H222" i="4" s="1"/>
  <c r="C222" i="4"/>
  <c r="I221" i="4"/>
  <c r="G221" i="4"/>
  <c r="F221" i="4"/>
  <c r="E221" i="4"/>
  <c r="D221" i="4"/>
  <c r="C221" i="4"/>
  <c r="I220" i="4"/>
  <c r="G220" i="4"/>
  <c r="F220" i="4"/>
  <c r="E220" i="4"/>
  <c r="D220" i="4"/>
  <c r="H220" i="4" s="1"/>
  <c r="C220" i="4"/>
  <c r="I219" i="4"/>
  <c r="G219" i="4"/>
  <c r="F219" i="4"/>
  <c r="E219" i="4"/>
  <c r="D219" i="4"/>
  <c r="C219" i="4"/>
  <c r="I218" i="4"/>
  <c r="G218" i="4"/>
  <c r="F218" i="4"/>
  <c r="E218" i="4"/>
  <c r="D218" i="4"/>
  <c r="H218" i="4" s="1"/>
  <c r="C218" i="4"/>
  <c r="I217" i="4"/>
  <c r="G217" i="4"/>
  <c r="F217" i="4"/>
  <c r="E217" i="4"/>
  <c r="D217" i="4"/>
  <c r="C217" i="4"/>
  <c r="I216" i="4"/>
  <c r="G216" i="4"/>
  <c r="F216" i="4"/>
  <c r="E216" i="4"/>
  <c r="D216" i="4"/>
  <c r="H216" i="4" s="1"/>
  <c r="C216" i="4"/>
  <c r="I215" i="4"/>
  <c r="G215" i="4"/>
  <c r="F215" i="4"/>
  <c r="E215" i="4"/>
  <c r="D215" i="4"/>
  <c r="C215" i="4"/>
  <c r="I214" i="4"/>
  <c r="G214" i="4"/>
  <c r="F214" i="4"/>
  <c r="E214" i="4"/>
  <c r="D214" i="4"/>
  <c r="C214" i="4"/>
  <c r="I213" i="4"/>
  <c r="G213" i="4"/>
  <c r="F213" i="4"/>
  <c r="E213" i="4"/>
  <c r="D213" i="4"/>
  <c r="C213" i="4"/>
  <c r="I212" i="4"/>
  <c r="G212" i="4"/>
  <c r="F212" i="4"/>
  <c r="E212" i="4"/>
  <c r="D212" i="4"/>
  <c r="C212" i="4"/>
  <c r="I211" i="4"/>
  <c r="G211" i="4"/>
  <c r="F211" i="4"/>
  <c r="E211" i="4"/>
  <c r="D211" i="4"/>
  <c r="C211" i="4"/>
  <c r="I210" i="4"/>
  <c r="G210" i="4"/>
  <c r="F210" i="4"/>
  <c r="E210" i="4"/>
  <c r="D210" i="4"/>
  <c r="C210" i="4"/>
  <c r="H210" i="4" s="1"/>
  <c r="I209" i="4"/>
  <c r="G209" i="4"/>
  <c r="F209" i="4"/>
  <c r="E209" i="4"/>
  <c r="D209" i="4"/>
  <c r="C209" i="4"/>
  <c r="I208" i="4"/>
  <c r="G208" i="4"/>
  <c r="F208" i="4"/>
  <c r="E208" i="4"/>
  <c r="D208" i="4"/>
  <c r="C208" i="4"/>
  <c r="I207" i="4"/>
  <c r="G207" i="4"/>
  <c r="F207" i="4"/>
  <c r="E207" i="4"/>
  <c r="D207" i="4"/>
  <c r="C207" i="4"/>
  <c r="I206" i="4"/>
  <c r="G206" i="4"/>
  <c r="F206" i="4"/>
  <c r="E206" i="4"/>
  <c r="D206" i="4"/>
  <c r="C206" i="4"/>
  <c r="I205" i="4"/>
  <c r="G205" i="4"/>
  <c r="F205" i="4"/>
  <c r="E205" i="4"/>
  <c r="D205" i="4"/>
  <c r="C205" i="4"/>
  <c r="I204" i="4"/>
  <c r="G204" i="4"/>
  <c r="F204" i="4"/>
  <c r="E204" i="4"/>
  <c r="D204" i="4"/>
  <c r="C204" i="4"/>
  <c r="I203" i="4"/>
  <c r="G203" i="4"/>
  <c r="F203" i="4"/>
  <c r="E203" i="4"/>
  <c r="D203" i="4"/>
  <c r="C203" i="4"/>
  <c r="I202" i="4"/>
  <c r="G202" i="4"/>
  <c r="F202" i="4"/>
  <c r="E202" i="4"/>
  <c r="D202" i="4"/>
  <c r="C202" i="4"/>
  <c r="H202" i="4" s="1"/>
  <c r="I201" i="4"/>
  <c r="G201" i="4"/>
  <c r="F201" i="4"/>
  <c r="E201" i="4"/>
  <c r="D201" i="4"/>
  <c r="C201" i="4"/>
  <c r="I200" i="4"/>
  <c r="G200" i="4"/>
  <c r="F200" i="4"/>
  <c r="E200" i="4"/>
  <c r="D200" i="4"/>
  <c r="C200" i="4"/>
  <c r="H200" i="4" s="1"/>
  <c r="I199" i="4"/>
  <c r="G199" i="4"/>
  <c r="F199" i="4"/>
  <c r="E199" i="4"/>
  <c r="D199" i="4"/>
  <c r="C199" i="4"/>
  <c r="I198" i="4"/>
  <c r="G198" i="4"/>
  <c r="F198" i="4"/>
  <c r="E198" i="4"/>
  <c r="D198" i="4"/>
  <c r="C198" i="4"/>
  <c r="H198" i="4" s="1"/>
  <c r="I197" i="4"/>
  <c r="G197" i="4"/>
  <c r="F197" i="4"/>
  <c r="E197" i="4"/>
  <c r="D197" i="4"/>
  <c r="C197" i="4"/>
  <c r="I196" i="4"/>
  <c r="G196" i="4"/>
  <c r="F196" i="4"/>
  <c r="E196" i="4"/>
  <c r="D196" i="4"/>
  <c r="C196" i="4"/>
  <c r="I195" i="4"/>
  <c r="G195" i="4"/>
  <c r="F195" i="4"/>
  <c r="E195" i="4"/>
  <c r="D195" i="4"/>
  <c r="C195" i="4"/>
  <c r="I194" i="4"/>
  <c r="G194" i="4"/>
  <c r="F194" i="4"/>
  <c r="E194" i="4"/>
  <c r="D194" i="4"/>
  <c r="C194" i="4"/>
  <c r="I193" i="4"/>
  <c r="G193" i="4"/>
  <c r="F193" i="4"/>
  <c r="E193" i="4"/>
  <c r="D193" i="4"/>
  <c r="C193" i="4"/>
  <c r="I192" i="4"/>
  <c r="G192" i="4"/>
  <c r="F192" i="4"/>
  <c r="E192" i="4"/>
  <c r="D192" i="4"/>
  <c r="C192" i="4"/>
  <c r="H192" i="4" s="1"/>
  <c r="I191" i="4"/>
  <c r="G191" i="4"/>
  <c r="F191" i="4"/>
  <c r="E191" i="4"/>
  <c r="D191" i="4"/>
  <c r="C191" i="4"/>
  <c r="I190" i="4"/>
  <c r="G190" i="4"/>
  <c r="F190" i="4"/>
  <c r="E190" i="4"/>
  <c r="D190" i="4"/>
  <c r="C190" i="4"/>
  <c r="I189" i="4"/>
  <c r="G189" i="4"/>
  <c r="F189" i="4"/>
  <c r="E189" i="4"/>
  <c r="D189" i="4"/>
  <c r="C189" i="4"/>
  <c r="I188" i="4"/>
  <c r="G188" i="4"/>
  <c r="F188" i="4"/>
  <c r="E188" i="4"/>
  <c r="D188" i="4"/>
  <c r="C188" i="4"/>
  <c r="I187" i="4"/>
  <c r="G187" i="4"/>
  <c r="F187" i="4"/>
  <c r="E187" i="4"/>
  <c r="D187" i="4"/>
  <c r="C187" i="4"/>
  <c r="I186" i="4"/>
  <c r="G186" i="4"/>
  <c r="F186" i="4"/>
  <c r="E186" i="4"/>
  <c r="D186" i="4"/>
  <c r="H186" i="4" s="1"/>
  <c r="C186" i="4"/>
  <c r="I185" i="4"/>
  <c r="G185" i="4"/>
  <c r="F185" i="4"/>
  <c r="E185" i="4"/>
  <c r="D185" i="4"/>
  <c r="C185" i="4"/>
  <c r="I184" i="4"/>
  <c r="G184" i="4"/>
  <c r="F184" i="4"/>
  <c r="E184" i="4"/>
  <c r="D184" i="4"/>
  <c r="H184" i="4" s="1"/>
  <c r="C184" i="4"/>
  <c r="I183" i="4"/>
  <c r="G183" i="4"/>
  <c r="F183" i="4"/>
  <c r="E183" i="4"/>
  <c r="D183" i="4"/>
  <c r="C183" i="4"/>
  <c r="I182" i="4"/>
  <c r="G182" i="4"/>
  <c r="F182" i="4"/>
  <c r="E182" i="4"/>
  <c r="D182" i="4"/>
  <c r="H182" i="4" s="1"/>
  <c r="C182" i="4"/>
  <c r="I181" i="4"/>
  <c r="G181" i="4"/>
  <c r="F181" i="4"/>
  <c r="E181" i="4"/>
  <c r="D181" i="4"/>
  <c r="C181" i="4"/>
  <c r="I180" i="4"/>
  <c r="G180" i="4"/>
  <c r="F180" i="4"/>
  <c r="E180" i="4"/>
  <c r="D180" i="4"/>
  <c r="H180" i="4" s="1"/>
  <c r="C180" i="4"/>
  <c r="I179" i="4"/>
  <c r="G179" i="4"/>
  <c r="F179" i="4"/>
  <c r="E179" i="4"/>
  <c r="D179" i="4"/>
  <c r="C179" i="4"/>
  <c r="I178" i="4"/>
  <c r="G178" i="4"/>
  <c r="F178" i="4"/>
  <c r="E178" i="4"/>
  <c r="D178" i="4"/>
  <c r="H178" i="4" s="1"/>
  <c r="C178" i="4"/>
  <c r="I177" i="4"/>
  <c r="G177" i="4"/>
  <c r="F177" i="4"/>
  <c r="E177" i="4"/>
  <c r="D177" i="4"/>
  <c r="C177" i="4"/>
  <c r="I176" i="4"/>
  <c r="G176" i="4"/>
  <c r="F176" i="4"/>
  <c r="E176" i="4"/>
  <c r="D176" i="4"/>
  <c r="C176" i="4"/>
  <c r="I175" i="4"/>
  <c r="G175" i="4"/>
  <c r="F175" i="4"/>
  <c r="E175" i="4"/>
  <c r="D175" i="4"/>
  <c r="C175" i="4"/>
  <c r="I174" i="4"/>
  <c r="G174" i="4"/>
  <c r="F174" i="4"/>
  <c r="E174" i="4"/>
  <c r="D174" i="4"/>
  <c r="C174" i="4"/>
  <c r="I173" i="4"/>
  <c r="G173" i="4"/>
  <c r="F173" i="4"/>
  <c r="E173" i="4"/>
  <c r="D173" i="4"/>
  <c r="C173" i="4"/>
  <c r="I172" i="4"/>
  <c r="G172" i="4"/>
  <c r="F172" i="4"/>
  <c r="E172" i="4"/>
  <c r="D172" i="4"/>
  <c r="H172" i="4" s="1"/>
  <c r="C172" i="4"/>
  <c r="I171" i="4"/>
  <c r="G171" i="4"/>
  <c r="F171" i="4"/>
  <c r="E171" i="4"/>
  <c r="D171" i="4"/>
  <c r="C171" i="4"/>
  <c r="I170" i="4"/>
  <c r="G170" i="4"/>
  <c r="F170" i="4"/>
  <c r="E170" i="4"/>
  <c r="D170" i="4"/>
  <c r="H170" i="4" s="1"/>
  <c r="C170" i="4"/>
  <c r="I169" i="4"/>
  <c r="G169" i="4"/>
  <c r="F169" i="4"/>
  <c r="E169" i="4"/>
  <c r="D169" i="4"/>
  <c r="C169" i="4"/>
  <c r="I168" i="4"/>
  <c r="G168" i="4"/>
  <c r="F168" i="4"/>
  <c r="E168" i="4"/>
  <c r="D168" i="4"/>
  <c r="C168" i="4"/>
  <c r="I167" i="4"/>
  <c r="G167" i="4"/>
  <c r="F167" i="4"/>
  <c r="E167" i="4"/>
  <c r="D167" i="4"/>
  <c r="C167" i="4"/>
  <c r="I166" i="4"/>
  <c r="G166" i="4"/>
  <c r="F166" i="4"/>
  <c r="E166" i="4"/>
  <c r="D166" i="4"/>
  <c r="C166" i="4"/>
  <c r="H166" i="4" s="1"/>
  <c r="I165" i="4"/>
  <c r="G165" i="4"/>
  <c r="F165" i="4"/>
  <c r="E165" i="4"/>
  <c r="D165" i="4"/>
  <c r="C165" i="4"/>
  <c r="I164" i="4"/>
  <c r="G164" i="4"/>
  <c r="F164" i="4"/>
  <c r="E164" i="4"/>
  <c r="D164" i="4"/>
  <c r="C164" i="4"/>
  <c r="H164" i="4" s="1"/>
  <c r="I163" i="4"/>
  <c r="G163" i="4"/>
  <c r="F163" i="4"/>
  <c r="E163" i="4"/>
  <c r="D163" i="4"/>
  <c r="C163" i="4"/>
  <c r="I162" i="4"/>
  <c r="G162" i="4"/>
  <c r="F162" i="4"/>
  <c r="E162" i="4"/>
  <c r="D162" i="4"/>
  <c r="C162" i="4"/>
  <c r="H162" i="4" s="1"/>
  <c r="I161" i="4"/>
  <c r="G161" i="4"/>
  <c r="F161" i="4"/>
  <c r="E161" i="4"/>
  <c r="D161" i="4"/>
  <c r="C161" i="4"/>
  <c r="I160" i="4"/>
  <c r="G160" i="4"/>
  <c r="F160" i="4"/>
  <c r="E160" i="4"/>
  <c r="D160" i="4"/>
  <c r="C160" i="4"/>
  <c r="H160" i="4" s="1"/>
  <c r="I159" i="4"/>
  <c r="G159" i="4"/>
  <c r="F159" i="4"/>
  <c r="E159" i="4"/>
  <c r="D159" i="4"/>
  <c r="C159" i="4"/>
  <c r="I158" i="4"/>
  <c r="G158" i="4"/>
  <c r="F158" i="4"/>
  <c r="E158" i="4"/>
  <c r="D158" i="4"/>
  <c r="C158" i="4"/>
  <c r="H158" i="4" s="1"/>
  <c r="I157" i="4"/>
  <c r="G157" i="4"/>
  <c r="F157" i="4"/>
  <c r="E157" i="4"/>
  <c r="D157" i="4"/>
  <c r="C157" i="4"/>
  <c r="I156" i="4"/>
  <c r="G156" i="4"/>
  <c r="F156" i="4"/>
  <c r="E156" i="4"/>
  <c r="D156" i="4"/>
  <c r="C156" i="4"/>
  <c r="I155" i="4"/>
  <c r="G155" i="4"/>
  <c r="F155" i="4"/>
  <c r="E155" i="4"/>
  <c r="D155" i="4"/>
  <c r="H155" i="4" s="1"/>
  <c r="C155" i="4"/>
  <c r="I154" i="4"/>
  <c r="G154" i="4"/>
  <c r="F154" i="4"/>
  <c r="E154" i="4"/>
  <c r="D154" i="4"/>
  <c r="C154" i="4"/>
  <c r="I153" i="4"/>
  <c r="G153" i="4"/>
  <c r="F153" i="4"/>
  <c r="E153" i="4"/>
  <c r="D153" i="4"/>
  <c r="H153" i="4" s="1"/>
  <c r="C153" i="4"/>
  <c r="I152" i="4"/>
  <c r="G152" i="4"/>
  <c r="F152" i="4"/>
  <c r="E152" i="4"/>
  <c r="D152" i="4"/>
  <c r="C152" i="4"/>
  <c r="I151" i="4"/>
  <c r="G151" i="4"/>
  <c r="F151" i="4"/>
  <c r="E151" i="4"/>
  <c r="D151" i="4"/>
  <c r="H151" i="4" s="1"/>
  <c r="C151" i="4"/>
  <c r="I150" i="4"/>
  <c r="G150" i="4"/>
  <c r="F150" i="4"/>
  <c r="E150" i="4"/>
  <c r="D150" i="4"/>
  <c r="C150" i="4"/>
  <c r="I149" i="4"/>
  <c r="G149" i="4"/>
  <c r="F149" i="4"/>
  <c r="E149" i="4"/>
  <c r="D149" i="4"/>
  <c r="H149" i="4" s="1"/>
  <c r="C149" i="4"/>
  <c r="I148" i="4"/>
  <c r="G148" i="4"/>
  <c r="F148" i="4"/>
  <c r="E148" i="4"/>
  <c r="D148" i="4"/>
  <c r="C148" i="4"/>
  <c r="I147" i="4"/>
  <c r="G147" i="4"/>
  <c r="F147" i="4"/>
  <c r="E147" i="4"/>
  <c r="D147" i="4"/>
  <c r="H147" i="4" s="1"/>
  <c r="C147" i="4"/>
  <c r="I146" i="4"/>
  <c r="G146" i="4"/>
  <c r="F146" i="4"/>
  <c r="E146" i="4"/>
  <c r="D146" i="4"/>
  <c r="C146" i="4"/>
  <c r="I145" i="4"/>
  <c r="G145" i="4"/>
  <c r="F145" i="4"/>
  <c r="E145" i="4"/>
  <c r="D145" i="4"/>
  <c r="H145" i="4" s="1"/>
  <c r="C145" i="4"/>
  <c r="I144" i="4"/>
  <c r="G144" i="4"/>
  <c r="F144" i="4"/>
  <c r="E144" i="4"/>
  <c r="D144" i="4"/>
  <c r="C144" i="4"/>
  <c r="I143" i="4"/>
  <c r="G143" i="4"/>
  <c r="F143" i="4"/>
  <c r="E143" i="4"/>
  <c r="D143" i="4"/>
  <c r="H143" i="4" s="1"/>
  <c r="C143" i="4"/>
  <c r="I142" i="4"/>
  <c r="G142" i="4"/>
  <c r="F142" i="4"/>
  <c r="E142" i="4"/>
  <c r="D142" i="4"/>
  <c r="C142" i="4"/>
  <c r="I141" i="4"/>
  <c r="G141" i="4"/>
  <c r="F141" i="4"/>
  <c r="E141" i="4"/>
  <c r="D141" i="4"/>
  <c r="H141" i="4" s="1"/>
  <c r="C141" i="4"/>
  <c r="I140" i="4"/>
  <c r="G140" i="4"/>
  <c r="F140" i="4"/>
  <c r="E140" i="4"/>
  <c r="D140" i="4"/>
  <c r="C140" i="4"/>
  <c r="I139" i="4"/>
  <c r="G139" i="4"/>
  <c r="F139" i="4"/>
  <c r="E139" i="4"/>
  <c r="D139" i="4"/>
  <c r="H139" i="4" s="1"/>
  <c r="C139" i="4"/>
  <c r="I138" i="4"/>
  <c r="G138" i="4"/>
  <c r="F138" i="4"/>
  <c r="E138" i="4"/>
  <c r="D138" i="4"/>
  <c r="C138" i="4"/>
  <c r="I137" i="4"/>
  <c r="G137" i="4"/>
  <c r="F137" i="4"/>
  <c r="E137" i="4"/>
  <c r="D137" i="4"/>
  <c r="H137" i="4" s="1"/>
  <c r="C137" i="4"/>
  <c r="I136" i="4"/>
  <c r="G136" i="4"/>
  <c r="F136" i="4"/>
  <c r="E136" i="4"/>
  <c r="D136" i="4"/>
  <c r="C136" i="4"/>
  <c r="I135" i="4"/>
  <c r="G135" i="4"/>
  <c r="F135" i="4"/>
  <c r="E135" i="4"/>
  <c r="D135" i="4"/>
  <c r="H135" i="4" s="1"/>
  <c r="C135" i="4"/>
  <c r="I134" i="4"/>
  <c r="G134" i="4"/>
  <c r="F134" i="4"/>
  <c r="E134" i="4"/>
  <c r="D134" i="4"/>
  <c r="C134" i="4"/>
  <c r="I133" i="4"/>
  <c r="G133" i="4"/>
  <c r="F133" i="4"/>
  <c r="E133" i="4"/>
  <c r="D133" i="4"/>
  <c r="H133" i="4" s="1"/>
  <c r="C133" i="4"/>
  <c r="I132" i="4"/>
  <c r="G132" i="4"/>
  <c r="F132" i="4"/>
  <c r="E132" i="4"/>
  <c r="D132" i="4"/>
  <c r="C132" i="4"/>
  <c r="I131" i="4"/>
  <c r="G131" i="4"/>
  <c r="F131" i="4"/>
  <c r="E131" i="4"/>
  <c r="D131" i="4"/>
  <c r="H131" i="4" s="1"/>
  <c r="C131" i="4"/>
  <c r="I130" i="4"/>
  <c r="G130" i="4"/>
  <c r="F130" i="4"/>
  <c r="E130" i="4"/>
  <c r="D130" i="4"/>
  <c r="C130" i="4"/>
  <c r="I129" i="4"/>
  <c r="G129" i="4"/>
  <c r="F129" i="4"/>
  <c r="E129" i="4"/>
  <c r="D129" i="4"/>
  <c r="H129" i="4" s="1"/>
  <c r="C129" i="4"/>
  <c r="I128" i="4"/>
  <c r="G128" i="4"/>
  <c r="F128" i="4"/>
  <c r="E128" i="4"/>
  <c r="D128" i="4"/>
  <c r="C128" i="4"/>
  <c r="I127" i="4"/>
  <c r="G127" i="4"/>
  <c r="F127" i="4"/>
  <c r="E127" i="4"/>
  <c r="D127" i="4"/>
  <c r="H127" i="4" s="1"/>
  <c r="C127" i="4"/>
  <c r="I126" i="4"/>
  <c r="G126" i="4"/>
  <c r="F126" i="4"/>
  <c r="E126" i="4"/>
  <c r="D126" i="4"/>
  <c r="C126" i="4"/>
  <c r="I125" i="4"/>
  <c r="G125" i="4"/>
  <c r="F125" i="4"/>
  <c r="E125" i="4"/>
  <c r="D125" i="4"/>
  <c r="C125" i="4"/>
  <c r="I124" i="4"/>
  <c r="G124" i="4"/>
  <c r="F124" i="4"/>
  <c r="E124" i="4"/>
  <c r="D124" i="4"/>
  <c r="C124" i="4"/>
  <c r="I123" i="4"/>
  <c r="G123" i="4"/>
  <c r="F123" i="4"/>
  <c r="E123" i="4"/>
  <c r="D123" i="4"/>
  <c r="C123" i="4"/>
  <c r="I122" i="4"/>
  <c r="G122" i="4"/>
  <c r="F122" i="4"/>
  <c r="E122" i="4"/>
  <c r="D122" i="4"/>
  <c r="C122" i="4"/>
  <c r="I121" i="4"/>
  <c r="G121" i="4"/>
  <c r="F121" i="4"/>
  <c r="E121" i="4"/>
  <c r="D121" i="4"/>
  <c r="H121" i="4" s="1"/>
  <c r="C121" i="4"/>
  <c r="I120" i="4"/>
  <c r="G120" i="4"/>
  <c r="F120" i="4"/>
  <c r="E120" i="4"/>
  <c r="D120" i="4"/>
  <c r="C120" i="4"/>
  <c r="I119" i="4"/>
  <c r="G119" i="4"/>
  <c r="F119" i="4"/>
  <c r="E119" i="4"/>
  <c r="D119" i="4"/>
  <c r="H119" i="4" s="1"/>
  <c r="C119" i="4"/>
  <c r="I118" i="4"/>
  <c r="G118" i="4"/>
  <c r="F118" i="4"/>
  <c r="E118" i="4"/>
  <c r="D118" i="4"/>
  <c r="C118" i="4"/>
  <c r="I117" i="4"/>
  <c r="G117" i="4"/>
  <c r="F117" i="4"/>
  <c r="E117" i="4"/>
  <c r="D117" i="4"/>
  <c r="C117" i="4"/>
  <c r="I116" i="4"/>
  <c r="G116" i="4"/>
  <c r="F116" i="4"/>
  <c r="E116" i="4"/>
  <c r="D116" i="4"/>
  <c r="C116" i="4"/>
  <c r="I115" i="4"/>
  <c r="G115" i="4"/>
  <c r="F115" i="4"/>
  <c r="E115" i="4"/>
  <c r="D115" i="4"/>
  <c r="C115" i="4"/>
  <c r="H115" i="4" s="1"/>
  <c r="I114" i="4"/>
  <c r="G114" i="4"/>
  <c r="F114" i="4"/>
  <c r="E114" i="4"/>
  <c r="D114" i="4"/>
  <c r="C114" i="4"/>
  <c r="I113" i="4"/>
  <c r="G113" i="4"/>
  <c r="F113" i="4"/>
  <c r="E113" i="4"/>
  <c r="D113" i="4"/>
  <c r="C113" i="4"/>
  <c r="I112" i="4"/>
  <c r="G112" i="4"/>
  <c r="F112" i="4"/>
  <c r="E112" i="4"/>
  <c r="D112" i="4"/>
  <c r="C112" i="4"/>
  <c r="I111" i="4"/>
  <c r="G111" i="4"/>
  <c r="F111" i="4"/>
  <c r="E111" i="4"/>
  <c r="D111" i="4"/>
  <c r="C111" i="4"/>
  <c r="I110" i="4"/>
  <c r="G110" i="4"/>
  <c r="F110" i="4"/>
  <c r="E110" i="4"/>
  <c r="D110" i="4"/>
  <c r="C110" i="4"/>
  <c r="I109" i="4"/>
  <c r="G109" i="4"/>
  <c r="F109" i="4"/>
  <c r="E109" i="4"/>
  <c r="D109" i="4"/>
  <c r="C109" i="4"/>
  <c r="I108" i="4"/>
  <c r="G108" i="4"/>
  <c r="F108" i="4"/>
  <c r="E108" i="4"/>
  <c r="D108" i="4"/>
  <c r="C108" i="4"/>
  <c r="I107" i="4"/>
  <c r="G107" i="4"/>
  <c r="F107" i="4"/>
  <c r="E107" i="4"/>
  <c r="D107" i="4"/>
  <c r="C107" i="4"/>
  <c r="I106" i="4"/>
  <c r="G106" i="4"/>
  <c r="F106" i="4"/>
  <c r="E106" i="4"/>
  <c r="D106" i="4"/>
  <c r="C106" i="4"/>
  <c r="I105" i="4"/>
  <c r="G105" i="4"/>
  <c r="F105" i="4"/>
  <c r="E105" i="4"/>
  <c r="D105" i="4"/>
  <c r="C105" i="4"/>
  <c r="I104" i="4"/>
  <c r="G104" i="4"/>
  <c r="F104" i="4"/>
  <c r="E104" i="4"/>
  <c r="D104" i="4"/>
  <c r="C104" i="4"/>
  <c r="I103" i="4"/>
  <c r="G103" i="4"/>
  <c r="F103" i="4"/>
  <c r="E103" i="4"/>
  <c r="D103" i="4"/>
  <c r="C103" i="4"/>
  <c r="I102" i="4"/>
  <c r="G102" i="4"/>
  <c r="F102" i="4"/>
  <c r="E102" i="4"/>
  <c r="D102" i="4"/>
  <c r="C102" i="4"/>
  <c r="I101" i="4"/>
  <c r="G101" i="4"/>
  <c r="F101" i="4"/>
  <c r="E101" i="4"/>
  <c r="D101" i="4"/>
  <c r="C101" i="4"/>
  <c r="I100" i="4"/>
  <c r="G100" i="4"/>
  <c r="F100" i="4"/>
  <c r="E100" i="4"/>
  <c r="D100" i="4"/>
  <c r="C100" i="4"/>
  <c r="I99" i="4"/>
  <c r="G99" i="4"/>
  <c r="F99" i="4"/>
  <c r="E99" i="4"/>
  <c r="D99" i="4"/>
  <c r="C99" i="4"/>
  <c r="I98" i="4"/>
  <c r="G98" i="4"/>
  <c r="F98" i="4"/>
  <c r="E98" i="4"/>
  <c r="D98" i="4"/>
  <c r="C98" i="4"/>
  <c r="I97" i="4"/>
  <c r="G97" i="4"/>
  <c r="F97" i="4"/>
  <c r="E97" i="4"/>
  <c r="D97" i="4"/>
  <c r="C97" i="4"/>
  <c r="I96" i="4"/>
  <c r="G96" i="4"/>
  <c r="F96" i="4"/>
  <c r="E96" i="4"/>
  <c r="D96" i="4"/>
  <c r="C96" i="4"/>
  <c r="I95" i="4"/>
  <c r="G95" i="4"/>
  <c r="F95" i="4"/>
  <c r="E95" i="4"/>
  <c r="D95" i="4"/>
  <c r="C95" i="4"/>
  <c r="I94" i="4"/>
  <c r="G94" i="4"/>
  <c r="F94" i="4"/>
  <c r="E94" i="4"/>
  <c r="D94" i="4"/>
  <c r="C94" i="4"/>
  <c r="I93" i="4"/>
  <c r="G93" i="4"/>
  <c r="F93" i="4"/>
  <c r="E93" i="4"/>
  <c r="D93" i="4"/>
  <c r="C93" i="4"/>
  <c r="I92" i="4"/>
  <c r="G92" i="4"/>
  <c r="F92" i="4"/>
  <c r="E92" i="4"/>
  <c r="D92" i="4"/>
  <c r="C92" i="4"/>
  <c r="I91" i="4"/>
  <c r="G91" i="4"/>
  <c r="F91" i="4"/>
  <c r="E91" i="4"/>
  <c r="D91" i="4"/>
  <c r="C91" i="4"/>
  <c r="I90" i="4"/>
  <c r="G90" i="4"/>
  <c r="F90" i="4"/>
  <c r="E90" i="4"/>
  <c r="D90" i="4"/>
  <c r="C90" i="4"/>
  <c r="I89" i="4"/>
  <c r="G89" i="4"/>
  <c r="F89" i="4"/>
  <c r="E89" i="4"/>
  <c r="D89" i="4"/>
  <c r="C89" i="4"/>
  <c r="I88" i="4"/>
  <c r="G88" i="4"/>
  <c r="F88" i="4"/>
  <c r="E88" i="4"/>
  <c r="D88" i="4"/>
  <c r="C88" i="4"/>
  <c r="I87" i="4"/>
  <c r="G87" i="4"/>
  <c r="F87" i="4"/>
  <c r="E87" i="4"/>
  <c r="D87" i="4"/>
  <c r="C87" i="4"/>
  <c r="I86" i="4"/>
  <c r="G86" i="4"/>
  <c r="F86" i="4"/>
  <c r="E86" i="4"/>
  <c r="D86" i="4"/>
  <c r="C86" i="4"/>
  <c r="I85" i="4"/>
  <c r="G85" i="4"/>
  <c r="F85" i="4"/>
  <c r="E85" i="4"/>
  <c r="D85" i="4"/>
  <c r="C85" i="4"/>
  <c r="I84" i="4"/>
  <c r="G84" i="4"/>
  <c r="F84" i="4"/>
  <c r="E84" i="4"/>
  <c r="D84" i="4"/>
  <c r="C84" i="4"/>
  <c r="I83" i="4"/>
  <c r="G83" i="4"/>
  <c r="F83" i="4"/>
  <c r="E83" i="4"/>
  <c r="D83" i="4"/>
  <c r="C83" i="4"/>
  <c r="I82" i="4"/>
  <c r="G82" i="4"/>
  <c r="F82" i="4"/>
  <c r="E82" i="4"/>
  <c r="D82" i="4"/>
  <c r="C82" i="4"/>
  <c r="I81" i="4"/>
  <c r="G81" i="4"/>
  <c r="F81" i="4"/>
  <c r="E81" i="4"/>
  <c r="D81" i="4"/>
  <c r="C81" i="4"/>
  <c r="I80" i="4"/>
  <c r="G80" i="4"/>
  <c r="F80" i="4"/>
  <c r="E80" i="4"/>
  <c r="D80" i="4"/>
  <c r="C80" i="4"/>
  <c r="I79" i="4"/>
  <c r="G79" i="4"/>
  <c r="F79" i="4"/>
  <c r="E79" i="4"/>
  <c r="D79" i="4"/>
  <c r="C79" i="4"/>
  <c r="I78" i="4"/>
  <c r="G78" i="4"/>
  <c r="F78" i="4"/>
  <c r="E78" i="4"/>
  <c r="D78" i="4"/>
  <c r="C78" i="4"/>
  <c r="I77" i="4"/>
  <c r="G77" i="4"/>
  <c r="F77" i="4"/>
  <c r="E77" i="4"/>
  <c r="D77" i="4"/>
  <c r="C77" i="4"/>
  <c r="I76" i="4"/>
  <c r="G76" i="4"/>
  <c r="F76" i="4"/>
  <c r="E76" i="4"/>
  <c r="D76" i="4"/>
  <c r="C76" i="4"/>
  <c r="I75" i="4"/>
  <c r="G75" i="4"/>
  <c r="F75" i="4"/>
  <c r="E75" i="4"/>
  <c r="D75" i="4"/>
  <c r="C75" i="4"/>
  <c r="I74" i="4"/>
  <c r="G74" i="4"/>
  <c r="F74" i="4"/>
  <c r="E74" i="4"/>
  <c r="D74" i="4"/>
  <c r="C74" i="4"/>
  <c r="I73" i="4"/>
  <c r="G73" i="4"/>
  <c r="F73" i="4"/>
  <c r="E73" i="4"/>
  <c r="D73" i="4"/>
  <c r="C73" i="4"/>
  <c r="I72" i="4"/>
  <c r="G72" i="4"/>
  <c r="F72" i="4"/>
  <c r="E72" i="4"/>
  <c r="D72" i="4"/>
  <c r="C72" i="4"/>
  <c r="I71" i="4"/>
  <c r="G71" i="4"/>
  <c r="F71" i="4"/>
  <c r="E71" i="4"/>
  <c r="D71" i="4"/>
  <c r="C71" i="4"/>
  <c r="I70" i="4"/>
  <c r="G70" i="4"/>
  <c r="F70" i="4"/>
  <c r="E70" i="4"/>
  <c r="D70" i="4"/>
  <c r="C70" i="4"/>
  <c r="I69" i="4"/>
  <c r="G69" i="4"/>
  <c r="F69" i="4"/>
  <c r="E69" i="4"/>
  <c r="D69" i="4"/>
  <c r="C69" i="4"/>
  <c r="I68" i="4"/>
  <c r="G68" i="4"/>
  <c r="F68" i="4"/>
  <c r="E68" i="4"/>
  <c r="D68" i="4"/>
  <c r="C68" i="4"/>
  <c r="I67" i="4"/>
  <c r="G67" i="4"/>
  <c r="F67" i="4"/>
  <c r="E67" i="4"/>
  <c r="D67" i="4"/>
  <c r="C67" i="4"/>
  <c r="I66" i="4"/>
  <c r="G66" i="4"/>
  <c r="F66" i="4"/>
  <c r="E66" i="4"/>
  <c r="D66" i="4"/>
  <c r="C66" i="4"/>
  <c r="I65" i="4"/>
  <c r="G65" i="4"/>
  <c r="F65" i="4"/>
  <c r="E65" i="4"/>
  <c r="D65" i="4"/>
  <c r="C65" i="4"/>
  <c r="I64" i="4"/>
  <c r="G64" i="4"/>
  <c r="F64" i="4"/>
  <c r="E64" i="4"/>
  <c r="D64" i="4"/>
  <c r="C64" i="4"/>
  <c r="I63" i="4"/>
  <c r="G63" i="4"/>
  <c r="F63" i="4"/>
  <c r="E63" i="4"/>
  <c r="D63" i="4"/>
  <c r="C63" i="4"/>
  <c r="I62" i="4"/>
  <c r="G62" i="4"/>
  <c r="F62" i="4"/>
  <c r="E62" i="4"/>
  <c r="D62" i="4"/>
  <c r="C62" i="4"/>
  <c r="I61" i="4"/>
  <c r="G61" i="4"/>
  <c r="F61" i="4"/>
  <c r="E61" i="4"/>
  <c r="D61" i="4"/>
  <c r="C61" i="4"/>
  <c r="I60" i="4"/>
  <c r="G60" i="4"/>
  <c r="F60" i="4"/>
  <c r="E60" i="4"/>
  <c r="D60" i="4"/>
  <c r="C60" i="4"/>
  <c r="I59" i="4"/>
  <c r="G59" i="4"/>
  <c r="F59" i="4"/>
  <c r="E59" i="4"/>
  <c r="D59" i="4"/>
  <c r="C59" i="4"/>
  <c r="I58" i="4"/>
  <c r="G58" i="4"/>
  <c r="F58" i="4"/>
  <c r="E58" i="4"/>
  <c r="D58" i="4"/>
  <c r="C58" i="4"/>
  <c r="I57" i="4"/>
  <c r="G57" i="4"/>
  <c r="F57" i="4"/>
  <c r="E57" i="4"/>
  <c r="D57" i="4"/>
  <c r="C57" i="4"/>
  <c r="I56" i="4"/>
  <c r="G56" i="4"/>
  <c r="F56" i="4"/>
  <c r="E56" i="4"/>
  <c r="D56" i="4"/>
  <c r="C56" i="4"/>
  <c r="I55" i="4"/>
  <c r="G55" i="4"/>
  <c r="F55" i="4"/>
  <c r="E55" i="4"/>
  <c r="D55" i="4"/>
  <c r="C55" i="4"/>
  <c r="I54" i="4"/>
  <c r="G54" i="4"/>
  <c r="F54" i="4"/>
  <c r="E54" i="4"/>
  <c r="D54" i="4"/>
  <c r="C54" i="4"/>
  <c r="I53" i="4"/>
  <c r="G53" i="4"/>
  <c r="F53" i="4"/>
  <c r="E53" i="4"/>
  <c r="D53" i="4"/>
  <c r="C53" i="4"/>
  <c r="I52" i="4"/>
  <c r="G52" i="4"/>
  <c r="F52" i="4"/>
  <c r="E52" i="4"/>
  <c r="D52" i="4"/>
  <c r="C52" i="4"/>
  <c r="I51" i="4"/>
  <c r="G51" i="4"/>
  <c r="F51" i="4"/>
  <c r="E51" i="4"/>
  <c r="D51" i="4"/>
  <c r="C51" i="4"/>
  <c r="I50" i="4"/>
  <c r="G50" i="4"/>
  <c r="F50" i="4"/>
  <c r="E50" i="4"/>
  <c r="D50" i="4"/>
  <c r="C50" i="4"/>
  <c r="I49" i="4"/>
  <c r="G49" i="4"/>
  <c r="F49" i="4"/>
  <c r="E49" i="4"/>
  <c r="D49" i="4"/>
  <c r="C49" i="4"/>
  <c r="I48" i="4"/>
  <c r="G48" i="4"/>
  <c r="F48" i="4"/>
  <c r="E48" i="4"/>
  <c r="D48" i="4"/>
  <c r="C48" i="4"/>
  <c r="I47" i="4"/>
  <c r="G47" i="4"/>
  <c r="F47" i="4"/>
  <c r="E47" i="4"/>
  <c r="D47" i="4"/>
  <c r="C47" i="4"/>
  <c r="I46" i="4"/>
  <c r="G46" i="4"/>
  <c r="F46" i="4"/>
  <c r="E46" i="4"/>
  <c r="D46" i="4"/>
  <c r="C46" i="4"/>
  <c r="I45" i="4"/>
  <c r="G45" i="4"/>
  <c r="F45" i="4"/>
  <c r="E45" i="4"/>
  <c r="D45" i="4"/>
  <c r="C45" i="4"/>
  <c r="I44" i="4"/>
  <c r="G44" i="4"/>
  <c r="F44" i="4"/>
  <c r="E44" i="4"/>
  <c r="D44" i="4"/>
  <c r="C44" i="4"/>
  <c r="I43" i="4"/>
  <c r="G43" i="4"/>
  <c r="F43" i="4"/>
  <c r="E43" i="4"/>
  <c r="D43" i="4"/>
  <c r="C43" i="4"/>
  <c r="I42" i="4"/>
  <c r="G42" i="4"/>
  <c r="F42" i="4"/>
  <c r="E42" i="4"/>
  <c r="D42" i="4"/>
  <c r="C42" i="4"/>
  <c r="I41" i="4"/>
  <c r="G41" i="4"/>
  <c r="F41" i="4"/>
  <c r="E41" i="4"/>
  <c r="D41" i="4"/>
  <c r="C41" i="4"/>
  <c r="I40" i="4"/>
  <c r="G40" i="4"/>
  <c r="F40" i="4"/>
  <c r="E40" i="4"/>
  <c r="D40" i="4"/>
  <c r="C40" i="4"/>
  <c r="I39" i="4"/>
  <c r="G39" i="4"/>
  <c r="F39" i="4"/>
  <c r="E39" i="4"/>
  <c r="D39" i="4"/>
  <c r="C39" i="4"/>
  <c r="I38" i="4"/>
  <c r="G38" i="4"/>
  <c r="F38" i="4"/>
  <c r="E38" i="4"/>
  <c r="D38" i="4"/>
  <c r="C38" i="4"/>
  <c r="I37" i="4"/>
  <c r="G37" i="4"/>
  <c r="F37" i="4"/>
  <c r="E37" i="4"/>
  <c r="D37" i="4"/>
  <c r="C37" i="4"/>
  <c r="I36" i="4"/>
  <c r="G36" i="4"/>
  <c r="F36" i="4"/>
  <c r="E36" i="4"/>
  <c r="D36" i="4"/>
  <c r="C36" i="4"/>
  <c r="I35" i="4"/>
  <c r="G35" i="4"/>
  <c r="F35" i="4"/>
  <c r="E35" i="4"/>
  <c r="D35" i="4"/>
  <c r="H35" i="4" s="1"/>
  <c r="C35" i="4"/>
  <c r="I34" i="4"/>
  <c r="G34" i="4"/>
  <c r="F34" i="4"/>
  <c r="E34" i="4"/>
  <c r="D34" i="4"/>
  <c r="C34" i="4"/>
  <c r="I33" i="4"/>
  <c r="G33" i="4"/>
  <c r="F33" i="4"/>
  <c r="E33" i="4"/>
  <c r="D33" i="4"/>
  <c r="H33" i="4" s="1"/>
  <c r="C33" i="4"/>
  <c r="I32" i="4"/>
  <c r="G32" i="4"/>
  <c r="F32" i="4"/>
  <c r="E32" i="4"/>
  <c r="D32" i="4"/>
  <c r="C32" i="4"/>
  <c r="I31" i="4"/>
  <c r="G31" i="4"/>
  <c r="F31" i="4"/>
  <c r="E31" i="4"/>
  <c r="D31" i="4"/>
  <c r="H31" i="4" s="1"/>
  <c r="C31" i="4"/>
  <c r="I30" i="4"/>
  <c r="G30" i="4"/>
  <c r="F30" i="4"/>
  <c r="E30" i="4"/>
  <c r="D30" i="4"/>
  <c r="C30" i="4"/>
  <c r="I29" i="4"/>
  <c r="G29" i="4"/>
  <c r="F29" i="4"/>
  <c r="E29" i="4"/>
  <c r="D29" i="4"/>
  <c r="H29" i="4" s="1"/>
  <c r="C29" i="4"/>
  <c r="I28" i="4"/>
  <c r="G28" i="4"/>
  <c r="F28" i="4"/>
  <c r="E28" i="4"/>
  <c r="D28" i="4"/>
  <c r="C28" i="4"/>
  <c r="I27" i="4"/>
  <c r="G27" i="4"/>
  <c r="F27" i="4"/>
  <c r="E27" i="4"/>
  <c r="D27" i="4"/>
  <c r="H27" i="4" s="1"/>
  <c r="C27" i="4"/>
  <c r="I26" i="4"/>
  <c r="G26" i="4"/>
  <c r="F26" i="4"/>
  <c r="E26" i="4"/>
  <c r="D26" i="4"/>
  <c r="C26" i="4"/>
  <c r="I25" i="4"/>
  <c r="G25" i="4"/>
  <c r="F25" i="4"/>
  <c r="E25" i="4"/>
  <c r="D25" i="4"/>
  <c r="H25" i="4" s="1"/>
  <c r="C25" i="4"/>
  <c r="I24" i="4"/>
  <c r="G24" i="4"/>
  <c r="F24" i="4"/>
  <c r="E24" i="4"/>
  <c r="D24" i="4"/>
  <c r="C24" i="4"/>
  <c r="I23" i="4"/>
  <c r="G23" i="4"/>
  <c r="F23" i="4"/>
  <c r="E23" i="4"/>
  <c r="D23" i="4"/>
  <c r="H23" i="4" s="1"/>
  <c r="C23" i="4"/>
  <c r="I22" i="4"/>
  <c r="G22" i="4"/>
  <c r="F22" i="4"/>
  <c r="E22" i="4"/>
  <c r="D22" i="4"/>
  <c r="C22" i="4"/>
  <c r="I21" i="4"/>
  <c r="G21" i="4"/>
  <c r="F21" i="4"/>
  <c r="E21" i="4"/>
  <c r="D21" i="4"/>
  <c r="H21" i="4" s="1"/>
  <c r="C21" i="4"/>
  <c r="I20" i="4"/>
  <c r="G20" i="4"/>
  <c r="F20" i="4"/>
  <c r="E20" i="4"/>
  <c r="D20" i="4"/>
  <c r="C20" i="4"/>
  <c r="I19" i="4"/>
  <c r="G19" i="4"/>
  <c r="F19" i="4"/>
  <c r="E19" i="4"/>
  <c r="D19" i="4"/>
  <c r="H19" i="4" s="1"/>
  <c r="C19" i="4"/>
  <c r="I18" i="4"/>
  <c r="G18" i="4"/>
  <c r="F18" i="4"/>
  <c r="E18" i="4"/>
  <c r="D18" i="4"/>
  <c r="C18" i="4"/>
  <c r="I17" i="4"/>
  <c r="G17" i="4"/>
  <c r="F17" i="4"/>
  <c r="E17" i="4"/>
  <c r="D17" i="4"/>
  <c r="H17" i="4" s="1"/>
  <c r="C17" i="4"/>
  <c r="I16" i="4"/>
  <c r="G16" i="4"/>
  <c r="F16" i="4"/>
  <c r="E16" i="4"/>
  <c r="D16" i="4"/>
  <c r="C16" i="4"/>
  <c r="I15" i="4"/>
  <c r="G15" i="4"/>
  <c r="F15" i="4"/>
  <c r="E15" i="4"/>
  <c r="D15" i="4"/>
  <c r="H15" i="4" s="1"/>
  <c r="C15" i="4"/>
  <c r="I14" i="4"/>
  <c r="G14" i="4"/>
  <c r="F14" i="4"/>
  <c r="E14" i="4"/>
  <c r="D14" i="4"/>
  <c r="C14" i="4"/>
  <c r="I13" i="4"/>
  <c r="G13" i="4"/>
  <c r="F13" i="4"/>
  <c r="E13" i="4"/>
  <c r="D13" i="4"/>
  <c r="H13" i="4" s="1"/>
  <c r="C13" i="4"/>
  <c r="I12" i="4"/>
  <c r="G12" i="4"/>
  <c r="F12" i="4"/>
  <c r="E12" i="4"/>
  <c r="D12" i="4"/>
  <c r="C12" i="4"/>
  <c r="I11" i="4"/>
  <c r="G11" i="4"/>
  <c r="F11" i="4"/>
  <c r="E11" i="4"/>
  <c r="D11" i="4"/>
  <c r="H11" i="4" s="1"/>
  <c r="C11" i="4"/>
  <c r="I10" i="4"/>
  <c r="G10" i="4"/>
  <c r="F10" i="4"/>
  <c r="E10" i="4"/>
  <c r="D10" i="4"/>
  <c r="C10" i="4"/>
  <c r="I9" i="4"/>
  <c r="G9" i="4"/>
  <c r="F9" i="4"/>
  <c r="E9" i="4"/>
  <c r="D9" i="4"/>
  <c r="C9" i="4"/>
  <c r="I8" i="4"/>
  <c r="G8" i="4"/>
  <c r="F8" i="4"/>
  <c r="E8" i="4"/>
  <c r="D8" i="4"/>
  <c r="C8" i="4"/>
  <c r="I7" i="4"/>
  <c r="G7" i="4"/>
  <c r="F7" i="4"/>
  <c r="E7" i="4"/>
  <c r="D7" i="4"/>
  <c r="H7" i="4" s="1"/>
  <c r="C7" i="4"/>
  <c r="I6" i="4"/>
  <c r="G6" i="4"/>
  <c r="F6" i="4"/>
  <c r="E6" i="4"/>
  <c r="D6" i="4"/>
  <c r="C6" i="4"/>
  <c r="I5" i="4"/>
  <c r="G5" i="4"/>
  <c r="F5" i="4"/>
  <c r="E5" i="4"/>
  <c r="D5" i="4"/>
  <c r="C5" i="4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H243" i="2" s="1"/>
  <c r="G244" i="2"/>
  <c r="G245" i="2"/>
  <c r="G246" i="2"/>
  <c r="G247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H239" i="2"/>
  <c r="H219" i="2"/>
  <c r="H5" i="1"/>
  <c r="L19" i="1"/>
  <c r="L18" i="1"/>
  <c r="L16" i="1"/>
  <c r="L15" i="1"/>
  <c r="L14" i="1"/>
  <c r="L12" i="1"/>
  <c r="L11" i="1"/>
  <c r="L10" i="1"/>
  <c r="L8" i="1"/>
  <c r="L7" i="1"/>
  <c r="L6" i="1"/>
  <c r="L5" i="1"/>
  <c r="L4" i="1"/>
  <c r="L3" i="1"/>
  <c r="Q3" i="1"/>
  <c r="Q9" i="1"/>
  <c r="Q13" i="1"/>
  <c r="Q17" i="1"/>
  <c r="P3" i="1"/>
  <c r="P9" i="1"/>
  <c r="P13" i="1"/>
  <c r="P17" i="1"/>
  <c r="O3" i="1"/>
  <c r="O9" i="1"/>
  <c r="O13" i="1"/>
  <c r="O17" i="1"/>
  <c r="N3" i="1"/>
  <c r="N9" i="1"/>
  <c r="N13" i="1"/>
  <c r="N17" i="1"/>
  <c r="R3" i="1"/>
  <c r="R9" i="1"/>
  <c r="R13" i="1"/>
  <c r="R17" i="1"/>
  <c r="D19" i="1"/>
  <c r="Q19" i="1" s="1"/>
  <c r="D18" i="1"/>
  <c r="P18" i="1" s="1"/>
  <c r="D16" i="1"/>
  <c r="Q16" i="1" s="1"/>
  <c r="D15" i="1"/>
  <c r="O15" i="1" s="1"/>
  <c r="D14" i="1"/>
  <c r="Q14" i="1" s="1"/>
  <c r="D12" i="1"/>
  <c r="Q12" i="1" s="1"/>
  <c r="D11" i="1"/>
  <c r="Q11" i="1" s="1"/>
  <c r="D10" i="1"/>
  <c r="N10" i="1" s="1"/>
  <c r="D8" i="1"/>
  <c r="R8" i="1" s="1"/>
  <c r="D7" i="1"/>
  <c r="Q7" i="1" s="1"/>
  <c r="D6" i="1"/>
  <c r="R6" i="1" s="1"/>
  <c r="D5" i="1"/>
  <c r="P5" i="1" s="1"/>
  <c r="D4" i="1"/>
  <c r="Q4" i="1" s="1"/>
  <c r="D3" i="1"/>
  <c r="S9" i="1"/>
  <c r="S13" i="1"/>
  <c r="S17" i="1"/>
  <c r="H269" i="4" l="1"/>
  <c r="H253" i="4"/>
  <c r="H271" i="4"/>
  <c r="H263" i="4"/>
  <c r="H259" i="4"/>
  <c r="H251" i="4"/>
  <c r="H39" i="4"/>
  <c r="H41" i="4"/>
  <c r="H47" i="4"/>
  <c r="H51" i="4"/>
  <c r="H55" i="4"/>
  <c r="H59" i="4"/>
  <c r="H63" i="4"/>
  <c r="H67" i="4"/>
  <c r="H71" i="4"/>
  <c r="H75" i="4"/>
  <c r="H79" i="4"/>
  <c r="H85" i="4"/>
  <c r="H87" i="4"/>
  <c r="H91" i="4"/>
  <c r="H95" i="4"/>
  <c r="H99" i="4"/>
  <c r="H103" i="4"/>
  <c r="H107" i="4"/>
  <c r="H111" i="4"/>
  <c r="H36" i="4"/>
  <c r="H117" i="4"/>
  <c r="H277" i="4"/>
  <c r="H261" i="4"/>
  <c r="H275" i="4"/>
  <c r="H267" i="4"/>
  <c r="H255" i="4"/>
  <c r="H37" i="4"/>
  <c r="H43" i="4"/>
  <c r="H45" i="4"/>
  <c r="H49" i="4"/>
  <c r="H53" i="4"/>
  <c r="H57" i="4"/>
  <c r="H61" i="4"/>
  <c r="H65" i="4"/>
  <c r="H73" i="4"/>
  <c r="H77" i="4"/>
  <c r="H81" i="4"/>
  <c r="H83" i="4"/>
  <c r="H89" i="4"/>
  <c r="H93" i="4"/>
  <c r="H97" i="4"/>
  <c r="H101" i="4"/>
  <c r="H105" i="4"/>
  <c r="H109" i="4"/>
  <c r="H113" i="4"/>
  <c r="H270" i="4"/>
  <c r="H262" i="4"/>
  <c r="H258" i="4"/>
  <c r="H250" i="4"/>
  <c r="H6" i="4"/>
  <c r="H10" i="4"/>
  <c r="H14" i="4"/>
  <c r="H16" i="4"/>
  <c r="H18" i="4"/>
  <c r="H20" i="4"/>
  <c r="H22" i="4"/>
  <c r="H24" i="4"/>
  <c r="H26" i="4"/>
  <c r="H28" i="4"/>
  <c r="H30" i="4"/>
  <c r="H32" i="4"/>
  <c r="H34" i="4"/>
  <c r="H54" i="4"/>
  <c r="H62" i="4"/>
  <c r="H64" i="4"/>
  <c r="H66" i="4"/>
  <c r="H68" i="4"/>
  <c r="H70" i="4"/>
  <c r="H78" i="4"/>
  <c r="H80" i="4"/>
  <c r="H86" i="4"/>
  <c r="H106" i="4"/>
  <c r="H120" i="4"/>
  <c r="H126" i="4"/>
  <c r="H128" i="4"/>
  <c r="H130" i="4"/>
  <c r="H132" i="4"/>
  <c r="H134" i="4"/>
  <c r="H136" i="4"/>
  <c r="H138" i="4"/>
  <c r="H140" i="4"/>
  <c r="H142" i="4"/>
  <c r="H144" i="4"/>
  <c r="H146" i="4"/>
  <c r="H148" i="4"/>
  <c r="H150" i="4"/>
  <c r="H152" i="4"/>
  <c r="H154" i="4"/>
  <c r="H156" i="4"/>
  <c r="H168" i="4"/>
  <c r="H176" i="4"/>
  <c r="H212" i="4"/>
  <c r="H214" i="4"/>
  <c r="H240" i="4"/>
  <c r="H242" i="4"/>
  <c r="H244" i="4"/>
  <c r="H246" i="4"/>
  <c r="H274" i="4"/>
  <c r="H266" i="4"/>
  <c r="H254" i="4"/>
  <c r="H8" i="4"/>
  <c r="H12" i="4"/>
  <c r="H38" i="4"/>
  <c r="H40" i="4"/>
  <c r="H42" i="4"/>
  <c r="H44" i="4"/>
  <c r="H46" i="4"/>
  <c r="H48" i="4"/>
  <c r="H50" i="4"/>
  <c r="H52" i="4"/>
  <c r="H56" i="4"/>
  <c r="H58" i="4"/>
  <c r="H60" i="4"/>
  <c r="H72" i="4"/>
  <c r="H74" i="4"/>
  <c r="H76" i="4"/>
  <c r="H82" i="4"/>
  <c r="H84" i="4"/>
  <c r="H88" i="4"/>
  <c r="H90" i="4"/>
  <c r="H92" i="4"/>
  <c r="H94" i="4"/>
  <c r="H96" i="4"/>
  <c r="H98" i="4"/>
  <c r="H100" i="4"/>
  <c r="H102" i="4"/>
  <c r="H104" i="4"/>
  <c r="H108" i="4"/>
  <c r="H110" i="4"/>
  <c r="H112" i="4"/>
  <c r="H114" i="4"/>
  <c r="H116" i="4"/>
  <c r="H118" i="4"/>
  <c r="H174" i="4"/>
  <c r="H188" i="4"/>
  <c r="H228" i="4"/>
  <c r="H123" i="4"/>
  <c r="H125" i="4"/>
  <c r="H215" i="4"/>
  <c r="H157" i="4"/>
  <c r="H159" i="4"/>
  <c r="H161" i="4"/>
  <c r="H163" i="4"/>
  <c r="H165" i="4"/>
  <c r="H167" i="4"/>
  <c r="H181" i="4"/>
  <c r="H183" i="4"/>
  <c r="H185" i="4"/>
  <c r="H187" i="4"/>
  <c r="H189" i="4"/>
  <c r="H191" i="4"/>
  <c r="H193" i="4"/>
  <c r="H195" i="4"/>
  <c r="H197" i="4"/>
  <c r="H199" i="4"/>
  <c r="H201" i="4"/>
  <c r="H203" i="4"/>
  <c r="H205" i="4"/>
  <c r="H207" i="4"/>
  <c r="H209" i="4"/>
  <c r="H211" i="4"/>
  <c r="H213" i="4"/>
  <c r="H235" i="4"/>
  <c r="H241" i="4"/>
  <c r="H243" i="4"/>
  <c r="H9" i="4"/>
  <c r="H5" i="4"/>
  <c r="H69" i="4"/>
  <c r="H122" i="4"/>
  <c r="H124" i="4"/>
  <c r="H169" i="4"/>
  <c r="H171" i="4"/>
  <c r="H173" i="4"/>
  <c r="H175" i="4"/>
  <c r="H177" i="4"/>
  <c r="H179" i="4"/>
  <c r="H190" i="4"/>
  <c r="H194" i="4"/>
  <c r="H196" i="4"/>
  <c r="H204" i="4"/>
  <c r="H206" i="4"/>
  <c r="H208" i="4"/>
  <c r="H233" i="4"/>
  <c r="H247" i="4"/>
  <c r="H217" i="4"/>
  <c r="H219" i="4"/>
  <c r="H221" i="4"/>
  <c r="H231" i="4"/>
  <c r="H239" i="4"/>
  <c r="H245" i="4"/>
  <c r="H223" i="4"/>
  <c r="H225" i="4"/>
  <c r="H227" i="4"/>
  <c r="H229" i="4"/>
  <c r="H237" i="4"/>
  <c r="H247" i="2"/>
  <c r="H227" i="2"/>
  <c r="H223" i="2"/>
  <c r="H235" i="2"/>
  <c r="H231" i="2"/>
  <c r="H220" i="2"/>
  <c r="H236" i="2"/>
  <c r="H241" i="2"/>
  <c r="H233" i="2"/>
  <c r="H217" i="2"/>
  <c r="H245" i="2"/>
  <c r="H237" i="2"/>
  <c r="H229" i="2"/>
  <c r="H225" i="2"/>
  <c r="H221" i="2"/>
  <c r="H246" i="2"/>
  <c r="H242" i="2"/>
  <c r="H238" i="2"/>
  <c r="H234" i="2"/>
  <c r="H230" i="2"/>
  <c r="H222" i="2"/>
  <c r="H226" i="2"/>
  <c r="H224" i="2"/>
  <c r="H244" i="2"/>
  <c r="H232" i="2"/>
  <c r="H240" i="2"/>
  <c r="H228" i="2"/>
  <c r="H218" i="2"/>
  <c r="P4" i="1"/>
  <c r="N19" i="1"/>
  <c r="R19" i="1"/>
  <c r="P19" i="1"/>
  <c r="N16" i="1"/>
  <c r="P16" i="1"/>
  <c r="O19" i="1"/>
  <c r="R16" i="1"/>
  <c r="O16" i="1"/>
  <c r="O12" i="1"/>
  <c r="N12" i="1"/>
  <c r="R12" i="1"/>
  <c r="P12" i="1"/>
  <c r="P15" i="1"/>
  <c r="Q18" i="1"/>
  <c r="R18" i="1"/>
  <c r="N18" i="1"/>
  <c r="O18" i="1"/>
  <c r="R15" i="1"/>
  <c r="N15" i="1"/>
  <c r="Q15" i="1"/>
  <c r="P11" i="1"/>
  <c r="R11" i="1"/>
  <c r="O11" i="1"/>
  <c r="N11" i="1"/>
  <c r="Q8" i="1"/>
  <c r="P8" i="1"/>
  <c r="O8" i="1"/>
  <c r="N8" i="1"/>
  <c r="O7" i="1"/>
  <c r="R7" i="1"/>
  <c r="N7" i="1"/>
  <c r="P7" i="1"/>
  <c r="N6" i="1"/>
  <c r="Q6" i="1"/>
  <c r="O6" i="1"/>
  <c r="P6" i="1"/>
  <c r="O14" i="1"/>
  <c r="O10" i="1"/>
  <c r="P10" i="1"/>
  <c r="R10" i="1"/>
  <c r="Q10" i="1"/>
  <c r="N14" i="1"/>
  <c r="S14" i="1"/>
  <c r="R14" i="1"/>
  <c r="P14" i="1"/>
  <c r="Q5" i="1"/>
  <c r="R5" i="1"/>
  <c r="N5" i="1"/>
  <c r="O5" i="1"/>
  <c r="N4" i="1"/>
  <c r="O4" i="1"/>
  <c r="R4" i="1"/>
  <c r="H215" i="2"/>
  <c r="H211" i="2"/>
  <c r="H199" i="2"/>
  <c r="H5" i="2"/>
  <c r="H214" i="2"/>
  <c r="H210" i="2"/>
  <c r="H206" i="2"/>
  <c r="H202" i="2"/>
  <c r="H198" i="2"/>
  <c r="H207" i="2"/>
  <c r="H203" i="2"/>
  <c r="S19" i="1"/>
  <c r="S18" i="1"/>
  <c r="S16" i="1"/>
  <c r="S15" i="1"/>
  <c r="S12" i="1"/>
  <c r="S11" i="1"/>
  <c r="S10" i="1"/>
  <c r="S8" i="1"/>
  <c r="S7" i="1"/>
  <c r="S6" i="1"/>
  <c r="S5" i="1"/>
  <c r="S4" i="1"/>
  <c r="H213" i="2"/>
  <c r="H205" i="2"/>
  <c r="H197" i="2"/>
  <c r="H212" i="2"/>
  <c r="H208" i="2"/>
  <c r="H204" i="2"/>
  <c r="H200" i="2"/>
  <c r="H209" i="2"/>
  <c r="H201" i="2"/>
  <c r="H216" i="2"/>
  <c r="H7" i="2"/>
  <c r="H6" i="2"/>
  <c r="O5" i="4" l="1"/>
  <c r="O6" i="4"/>
  <c r="H52" i="2"/>
  <c r="H26" i="2"/>
  <c r="H42" i="2"/>
  <c r="H41" i="2"/>
  <c r="H45" i="2"/>
  <c r="H37" i="2"/>
  <c r="H53" i="2"/>
  <c r="H55" i="2"/>
  <c r="H54" i="2"/>
  <c r="H62" i="2"/>
  <c r="H59" i="2"/>
  <c r="H25" i="2"/>
  <c r="H21" i="2"/>
  <c r="H17" i="2"/>
  <c r="H40" i="2"/>
  <c r="H31" i="2"/>
  <c r="H22" i="2"/>
  <c r="H23" i="2"/>
  <c r="H30" i="2"/>
  <c r="S3" i="1"/>
  <c r="O5" i="2"/>
  <c r="H9" i="2"/>
  <c r="H13" i="2"/>
  <c r="H29" i="2"/>
  <c r="H33" i="2"/>
  <c r="H10" i="2"/>
  <c r="H14" i="2"/>
  <c r="H38" i="2"/>
  <c r="H58" i="2"/>
  <c r="H8" i="2"/>
  <c r="H11" i="2"/>
  <c r="H15" i="2"/>
  <c r="H39" i="2"/>
  <c r="H43" i="2"/>
  <c r="H12" i="2"/>
  <c r="H44" i="2"/>
  <c r="O7" i="4" l="1"/>
  <c r="H187" i="2"/>
  <c r="H65" i="2"/>
  <c r="H32" i="2"/>
  <c r="H60" i="2"/>
  <c r="H19" i="2"/>
  <c r="H67" i="2"/>
  <c r="H169" i="2"/>
  <c r="H195" i="2"/>
  <c r="H192" i="2"/>
  <c r="H184" i="2"/>
  <c r="H168" i="2"/>
  <c r="H172" i="2"/>
  <c r="H178" i="2"/>
  <c r="H175" i="2"/>
  <c r="H191" i="2"/>
  <c r="H162" i="2"/>
  <c r="H179" i="2"/>
  <c r="H174" i="2"/>
  <c r="H176" i="2"/>
  <c r="H188" i="2"/>
  <c r="H186" i="2"/>
  <c r="H159" i="2"/>
  <c r="H148" i="2"/>
  <c r="H193" i="2"/>
  <c r="H166" i="2"/>
  <c r="H160" i="2"/>
  <c r="H158" i="2"/>
  <c r="H161" i="2"/>
  <c r="H163" i="2"/>
  <c r="H181" i="2"/>
  <c r="H151" i="2"/>
  <c r="H152" i="2"/>
  <c r="H190" i="2"/>
  <c r="H183" i="2"/>
  <c r="H189" i="2"/>
  <c r="H145" i="2"/>
  <c r="H154" i="2"/>
  <c r="H156" i="2"/>
  <c r="H157" i="2"/>
  <c r="H171" i="2"/>
  <c r="H170" i="2"/>
  <c r="H149" i="2"/>
  <c r="H196" i="2"/>
  <c r="H194" i="2"/>
  <c r="H185" i="2"/>
  <c r="H143" i="2"/>
  <c r="H64" i="2"/>
  <c r="H164" i="2"/>
  <c r="H150" i="2"/>
  <c r="H167" i="2"/>
  <c r="H177" i="2"/>
  <c r="H165" i="2"/>
  <c r="H180" i="2"/>
  <c r="H182" i="2"/>
  <c r="H173" i="2"/>
  <c r="H147" i="2"/>
  <c r="H136" i="2"/>
  <c r="H155" i="2"/>
  <c r="H139" i="2"/>
  <c r="H141" i="2"/>
  <c r="H153" i="2"/>
  <c r="H144" i="2"/>
  <c r="H121" i="2"/>
  <c r="H140" i="2"/>
  <c r="H137" i="2"/>
  <c r="H119" i="2"/>
  <c r="H138" i="2"/>
  <c r="H95" i="2"/>
  <c r="H74" i="2"/>
  <c r="H142" i="2"/>
  <c r="H104" i="2"/>
  <c r="H106" i="2"/>
  <c r="H134" i="2"/>
  <c r="H69" i="2"/>
  <c r="H91" i="2"/>
  <c r="H94" i="2"/>
  <c r="H90" i="2"/>
  <c r="H135" i="2"/>
  <c r="H77" i="2"/>
  <c r="H87" i="2"/>
  <c r="H125" i="2"/>
  <c r="H109" i="2"/>
  <c r="H131" i="2"/>
  <c r="H132" i="2"/>
  <c r="H130" i="2"/>
  <c r="H83" i="2"/>
  <c r="H110" i="2"/>
  <c r="H115" i="2"/>
  <c r="H113" i="2"/>
  <c r="H123" i="2"/>
  <c r="H108" i="2"/>
  <c r="H129" i="2"/>
  <c r="H127" i="2"/>
  <c r="H111" i="2"/>
  <c r="H146" i="2"/>
  <c r="H99" i="2"/>
  <c r="H120" i="2"/>
  <c r="H107" i="2"/>
  <c r="H76" i="2"/>
  <c r="H133" i="2"/>
  <c r="H97" i="2"/>
  <c r="H72" i="2"/>
  <c r="H100" i="2"/>
  <c r="H118" i="2"/>
  <c r="H122" i="2"/>
  <c r="H114" i="2"/>
  <c r="H116" i="2"/>
  <c r="H85" i="2"/>
  <c r="H126" i="2"/>
  <c r="H124" i="2"/>
  <c r="H103" i="2"/>
  <c r="H105" i="2"/>
  <c r="H128" i="2"/>
  <c r="H102" i="2"/>
  <c r="H98" i="2"/>
  <c r="H101" i="2"/>
  <c r="H112" i="2"/>
  <c r="H117" i="2"/>
  <c r="H86" i="2"/>
  <c r="H47" i="2"/>
  <c r="H93" i="2"/>
  <c r="H80" i="2"/>
  <c r="H89" i="2"/>
  <c r="H71" i="2"/>
  <c r="H36" i="2"/>
  <c r="H48" i="2"/>
  <c r="H73" i="2"/>
  <c r="H75" i="2"/>
  <c r="H24" i="2"/>
  <c r="H70" i="2"/>
  <c r="H79" i="2"/>
  <c r="H51" i="2"/>
  <c r="H66" i="2"/>
  <c r="H84" i="2"/>
  <c r="H46" i="2"/>
  <c r="H81" i="2"/>
  <c r="H16" i="2"/>
  <c r="H49" i="2"/>
  <c r="H88" i="2"/>
  <c r="H35" i="2"/>
  <c r="H78" i="2"/>
  <c r="H20" i="2"/>
  <c r="H92" i="2"/>
  <c r="H28" i="2"/>
  <c r="H18" i="2"/>
  <c r="H56" i="2"/>
  <c r="H34" i="2"/>
  <c r="H63" i="2"/>
  <c r="H50" i="2"/>
  <c r="H68" i="2"/>
  <c r="H27" i="2"/>
  <c r="H57" i="2"/>
  <c r="H96" i="2"/>
  <c r="H61" i="2"/>
  <c r="H82" i="2"/>
  <c r="O6" i="2"/>
  <c r="O7" i="2"/>
  <c r="O8" i="4" l="1"/>
  <c r="O8" i="2"/>
  <c r="O9" i="4" l="1"/>
  <c r="O9" i="2"/>
  <c r="O10" i="4" l="1"/>
  <c r="O10" i="2"/>
  <c r="O11" i="4" l="1"/>
  <c r="O11" i="2"/>
  <c r="O12" i="4" l="1"/>
  <c r="O12" i="2"/>
  <c r="O13" i="4" l="1"/>
  <c r="O13" i="2"/>
  <c r="O14" i="4" l="1"/>
  <c r="O14" i="2"/>
  <c r="O15" i="4" l="1"/>
  <c r="O15" i="2"/>
  <c r="O16" i="4" l="1"/>
  <c r="O16" i="2"/>
  <c r="O17" i="4" l="1"/>
  <c r="O17" i="2"/>
  <c r="O18" i="4" l="1"/>
  <c r="O18" i="2"/>
  <c r="O19" i="4" l="1"/>
  <c r="O19" i="2"/>
  <c r="O20" i="4" l="1"/>
  <c r="O20" i="2"/>
  <c r="O21" i="4" l="1"/>
  <c r="O21" i="2"/>
  <c r="O22" i="4" l="1"/>
  <c r="O22" i="2"/>
  <c r="O23" i="4" l="1"/>
  <c r="O23" i="2"/>
  <c r="O24" i="4" l="1"/>
  <c r="O24" i="2"/>
  <c r="O25" i="4" l="1"/>
  <c r="O25" i="2"/>
  <c r="O26" i="4" l="1"/>
  <c r="O26" i="2"/>
  <c r="O27" i="4" l="1"/>
  <c r="O27" i="2"/>
  <c r="O28" i="4" l="1"/>
  <c r="O28" i="2"/>
  <c r="O29" i="4" l="1"/>
  <c r="O29" i="2"/>
  <c r="O30" i="4" l="1"/>
  <c r="O30" i="2"/>
  <c r="O31" i="4" l="1"/>
  <c r="O31" i="2"/>
  <c r="O32" i="4" l="1"/>
  <c r="O32" i="2"/>
  <c r="O33" i="4" l="1"/>
  <c r="O33" i="2"/>
  <c r="O34" i="4" l="1"/>
  <c r="O34" i="2"/>
  <c r="O35" i="4" l="1"/>
  <c r="O35" i="2"/>
  <c r="O36" i="4" l="1"/>
  <c r="O36" i="2"/>
  <c r="O37" i="4" l="1"/>
  <c r="O37" i="2"/>
  <c r="O38" i="4" l="1"/>
  <c r="O38" i="2"/>
  <c r="O39" i="4" l="1"/>
  <c r="O39" i="2"/>
  <c r="O40" i="4" l="1"/>
  <c r="O40" i="2"/>
  <c r="O41" i="4" l="1"/>
  <c r="O41" i="2"/>
  <c r="O42" i="4" l="1"/>
  <c r="O42" i="2"/>
  <c r="O43" i="4" l="1"/>
  <c r="O43" i="2"/>
  <c r="O44" i="4" l="1"/>
  <c r="O44" i="2"/>
  <c r="O45" i="4" l="1"/>
  <c r="O45" i="2"/>
  <c r="O46" i="4" l="1"/>
  <c r="O46" i="2"/>
  <c r="O47" i="4" l="1"/>
  <c r="O47" i="2"/>
  <c r="O48" i="4" l="1"/>
  <c r="O48" i="2"/>
  <c r="O49" i="4" l="1"/>
  <c r="O49" i="2"/>
  <c r="O50" i="4" l="1"/>
  <c r="O50" i="2"/>
  <c r="O51" i="4" l="1"/>
  <c r="O51" i="2"/>
  <c r="O52" i="4" l="1"/>
  <c r="O52" i="2"/>
  <c r="O53" i="4" l="1"/>
  <c r="O53" i="2"/>
  <c r="O54" i="4" l="1"/>
  <c r="O54" i="2"/>
  <c r="O55" i="4" l="1"/>
  <c r="O55" i="2"/>
  <c r="O56" i="4" l="1"/>
  <c r="O56" i="2"/>
  <c r="O57" i="4" l="1"/>
  <c r="O57" i="2"/>
  <c r="O58" i="4" l="1"/>
  <c r="O58" i="2"/>
  <c r="O59" i="4" l="1"/>
  <c r="O59" i="2"/>
  <c r="O60" i="4" l="1"/>
  <c r="O60" i="2"/>
  <c r="O61" i="4" l="1"/>
  <c r="O61" i="2"/>
  <c r="O62" i="4" l="1"/>
  <c r="O62" i="2"/>
  <c r="O63" i="4" l="1"/>
  <c r="O63" i="2"/>
  <c r="O64" i="4" l="1"/>
  <c r="O64" i="2"/>
  <c r="O65" i="4" l="1"/>
  <c r="O65" i="2"/>
  <c r="O66" i="4" l="1"/>
  <c r="O66" i="2"/>
  <c r="O67" i="4" l="1"/>
  <c r="O67" i="2"/>
  <c r="O68" i="4" l="1"/>
  <c r="O68" i="2"/>
  <c r="O69" i="4" l="1"/>
  <c r="O69" i="2"/>
  <c r="O70" i="4" l="1"/>
  <c r="O70" i="2"/>
  <c r="O71" i="4" l="1"/>
  <c r="O71" i="2"/>
  <c r="O72" i="4" l="1"/>
  <c r="O72" i="2"/>
  <c r="O73" i="4" l="1"/>
  <c r="O73" i="2"/>
  <c r="O74" i="4" l="1"/>
  <c r="O74" i="2"/>
  <c r="O75" i="4" l="1"/>
  <c r="O75" i="2"/>
  <c r="O76" i="4" l="1"/>
  <c r="O76" i="2"/>
  <c r="O77" i="4" l="1"/>
  <c r="O77" i="2"/>
  <c r="O78" i="4" l="1"/>
  <c r="O78" i="2"/>
  <c r="O79" i="4" l="1"/>
  <c r="O79" i="2"/>
  <c r="O80" i="4" l="1"/>
  <c r="O80" i="2"/>
  <c r="O81" i="4" l="1"/>
  <c r="O81" i="2"/>
  <c r="O82" i="4" l="1"/>
  <c r="O82" i="2"/>
  <c r="O83" i="4" l="1"/>
  <c r="O83" i="2"/>
  <c r="O84" i="4" l="1"/>
  <c r="O84" i="2"/>
  <c r="O85" i="4" l="1"/>
  <c r="O85" i="2"/>
  <c r="O86" i="4" l="1"/>
  <c r="O86" i="2"/>
  <c r="O87" i="4" l="1"/>
  <c r="O87" i="2"/>
  <c r="O88" i="4" l="1"/>
  <c r="O88" i="2"/>
  <c r="O89" i="4" l="1"/>
  <c r="O89" i="2"/>
  <c r="O90" i="4" l="1"/>
  <c r="O90" i="2"/>
  <c r="O91" i="4" l="1"/>
  <c r="O91" i="2"/>
  <c r="O92" i="4" l="1"/>
  <c r="O92" i="2"/>
  <c r="O93" i="4" l="1"/>
  <c r="O93" i="2"/>
  <c r="O94" i="4" l="1"/>
  <c r="O94" i="2"/>
  <c r="O95" i="4" l="1"/>
  <c r="O95" i="2"/>
  <c r="O96" i="4" l="1"/>
  <c r="O96" i="2"/>
  <c r="O97" i="4" l="1"/>
  <c r="O97" i="2"/>
  <c r="O98" i="4" l="1"/>
  <c r="O98" i="2"/>
  <c r="O99" i="4" l="1"/>
  <c r="O99" i="2"/>
  <c r="O100" i="4" l="1"/>
  <c r="O100" i="2"/>
  <c r="O101" i="4" l="1"/>
  <c r="O101" i="2"/>
  <c r="O102" i="4" l="1"/>
  <c r="O102" i="2"/>
  <c r="O103" i="4" l="1"/>
  <c r="O103" i="2"/>
  <c r="O104" i="4" l="1"/>
  <c r="O104" i="2"/>
  <c r="O105" i="4" l="1"/>
  <c r="O105" i="2"/>
  <c r="O106" i="4" l="1"/>
  <c r="O106" i="2"/>
  <c r="O107" i="4" l="1"/>
  <c r="O107" i="2"/>
  <c r="O108" i="4" l="1"/>
  <c r="O108" i="2"/>
  <c r="O109" i="4" l="1"/>
  <c r="O109" i="2"/>
  <c r="O110" i="4" l="1"/>
  <c r="O110" i="2"/>
  <c r="O111" i="4" l="1"/>
  <c r="O111" i="2"/>
  <c r="O112" i="4" l="1"/>
  <c r="O112" i="2"/>
  <c r="O113" i="4" l="1"/>
  <c r="O113" i="2"/>
  <c r="O114" i="4" l="1"/>
  <c r="O114" i="2"/>
  <c r="O115" i="4" l="1"/>
  <c r="O115" i="2"/>
  <c r="O116" i="4" l="1"/>
  <c r="O116" i="2"/>
  <c r="O117" i="4" l="1"/>
  <c r="O117" i="2"/>
  <c r="O118" i="4" l="1"/>
  <c r="O118" i="2"/>
  <c r="O119" i="4" l="1"/>
  <c r="O119" i="2"/>
  <c r="O120" i="4" l="1"/>
  <c r="O120" i="2"/>
  <c r="O121" i="4" l="1"/>
  <c r="O121" i="2"/>
  <c r="O122" i="4" l="1"/>
  <c r="O122" i="2"/>
  <c r="O123" i="4" l="1"/>
  <c r="O123" i="2"/>
  <c r="O124" i="4" l="1"/>
  <c r="O124" i="2"/>
  <c r="O125" i="4" l="1"/>
  <c r="O125" i="2"/>
  <c r="O126" i="4" l="1"/>
  <c r="O126" i="2"/>
  <c r="O127" i="4" l="1"/>
  <c r="O127" i="2"/>
  <c r="O128" i="4" l="1"/>
  <c r="O128" i="2"/>
  <c r="O129" i="4" l="1"/>
  <c r="O129" i="2"/>
  <c r="O130" i="4" l="1"/>
  <c r="O130" i="2"/>
  <c r="O131" i="4" l="1"/>
  <c r="O131" i="2"/>
  <c r="O132" i="4" l="1"/>
  <c r="O132" i="2"/>
  <c r="O133" i="4" l="1"/>
  <c r="O133" i="2"/>
  <c r="O134" i="4" l="1"/>
  <c r="O134" i="2"/>
  <c r="O135" i="4" l="1"/>
  <c r="O135" i="2"/>
  <c r="O136" i="4" l="1"/>
  <c r="O136" i="2"/>
  <c r="O137" i="4" l="1"/>
  <c r="O137" i="2"/>
  <c r="O138" i="4" l="1"/>
  <c r="O138" i="2"/>
  <c r="O139" i="4" l="1"/>
  <c r="O139" i="2"/>
  <c r="O140" i="4" l="1"/>
  <c r="O140" i="2"/>
  <c r="O141" i="4" l="1"/>
  <c r="O141" i="2"/>
  <c r="O142" i="4" l="1"/>
  <c r="O142" i="2"/>
  <c r="O143" i="4" l="1"/>
  <c r="O143" i="2"/>
  <c r="O144" i="4" l="1"/>
  <c r="O144" i="2"/>
  <c r="O145" i="4" l="1"/>
  <c r="O145" i="2"/>
  <c r="O146" i="4" l="1"/>
  <c r="O146" i="2"/>
  <c r="O147" i="4" l="1"/>
  <c r="O147" i="2"/>
  <c r="O148" i="4" l="1"/>
  <c r="O148" i="2"/>
  <c r="O149" i="4" l="1"/>
  <c r="O149" i="2"/>
  <c r="O150" i="4" l="1"/>
  <c r="O150" i="2"/>
  <c r="O151" i="4" l="1"/>
  <c r="O151" i="2"/>
  <c r="O152" i="4" l="1"/>
  <c r="O152" i="2"/>
  <c r="O153" i="4" l="1"/>
  <c r="O153" i="2"/>
  <c r="O154" i="4" l="1"/>
  <c r="O154" i="2"/>
  <c r="O155" i="4" l="1"/>
  <c r="O155" i="2"/>
  <c r="O156" i="4" l="1"/>
  <c r="O156" i="2"/>
  <c r="O157" i="4" l="1"/>
  <c r="O157" i="2"/>
  <c r="O158" i="4" l="1"/>
  <c r="O158" i="2"/>
  <c r="O159" i="4" l="1"/>
  <c r="O159" i="2"/>
  <c r="O160" i="4" l="1"/>
  <c r="O160" i="2"/>
  <c r="O161" i="4" l="1"/>
  <c r="O161" i="2"/>
  <c r="O162" i="4" l="1"/>
  <c r="O162" i="2"/>
  <c r="O163" i="4" l="1"/>
  <c r="O163" i="2"/>
  <c r="O164" i="4" l="1"/>
  <c r="O164" i="2"/>
  <c r="O165" i="4" l="1"/>
  <c r="O165" i="2"/>
  <c r="O166" i="4" l="1"/>
  <c r="O166" i="2"/>
  <c r="O167" i="4" l="1"/>
  <c r="O167" i="2"/>
  <c r="O168" i="4" l="1"/>
  <c r="O168" i="2"/>
  <c r="O169" i="4" l="1"/>
  <c r="O169" i="2"/>
  <c r="O170" i="4" l="1"/>
  <c r="O170" i="2"/>
  <c r="O171" i="4" l="1"/>
  <c r="O171" i="2"/>
  <c r="O172" i="4" l="1"/>
  <c r="O172" i="2"/>
  <c r="O173" i="4" l="1"/>
  <c r="O173" i="2"/>
  <c r="O174" i="4" l="1"/>
  <c r="O174" i="2"/>
  <c r="O175" i="4" l="1"/>
  <c r="O175" i="2"/>
  <c r="O176" i="4" l="1"/>
  <c r="O176" i="2"/>
  <c r="O177" i="4" l="1"/>
  <c r="O177" i="2"/>
  <c r="O178" i="4" l="1"/>
  <c r="O178" i="2"/>
  <c r="O179" i="4" l="1"/>
  <c r="O179" i="2"/>
  <c r="O180" i="4" l="1"/>
  <c r="O180" i="2"/>
  <c r="O181" i="4" l="1"/>
  <c r="O181" i="2"/>
  <c r="O182" i="4" l="1"/>
  <c r="O182" i="2"/>
  <c r="O183" i="4" l="1"/>
  <c r="O183" i="2"/>
  <c r="O184" i="4" l="1"/>
  <c r="O184" i="2"/>
  <c r="O185" i="4" l="1"/>
  <c r="O185" i="2"/>
  <c r="O186" i="4" l="1"/>
  <c r="O186" i="2"/>
  <c r="O187" i="4" l="1"/>
  <c r="O187" i="2"/>
  <c r="O188" i="4" l="1"/>
  <c r="O188" i="2"/>
  <c r="O189" i="4" l="1"/>
  <c r="O189" i="2"/>
  <c r="O190" i="4" l="1"/>
  <c r="O190" i="2"/>
  <c r="O191" i="4" l="1"/>
  <c r="O191" i="2"/>
  <c r="O192" i="4" l="1"/>
  <c r="O192" i="2"/>
  <c r="O193" i="4" l="1"/>
  <c r="O193" i="2"/>
  <c r="O194" i="4" l="1"/>
  <c r="O194" i="2"/>
  <c r="O195" i="4" l="1"/>
  <c r="O195" i="2"/>
  <c r="O196" i="4" l="1"/>
  <c r="O196" i="2"/>
  <c r="O197" i="4" l="1"/>
  <c r="O197" i="2"/>
  <c r="O198" i="4" l="1"/>
  <c r="O198" i="2"/>
  <c r="O199" i="4" l="1"/>
  <c r="O199" i="2"/>
  <c r="O200" i="4" l="1"/>
  <c r="O200" i="2"/>
  <c r="O201" i="4" l="1"/>
  <c r="O201" i="2"/>
  <c r="O202" i="4" l="1"/>
  <c r="O202" i="2"/>
  <c r="O203" i="4" l="1"/>
  <c r="O203" i="2"/>
  <c r="O204" i="4" l="1"/>
  <c r="O204" i="2"/>
  <c r="O205" i="4" l="1"/>
  <c r="O205" i="2"/>
  <c r="O206" i="4" l="1"/>
  <c r="O206" i="2"/>
  <c r="O207" i="4" l="1"/>
  <c r="O207" i="2"/>
  <c r="O208" i="4" l="1"/>
  <c r="O208" i="2"/>
  <c r="O209" i="4" l="1"/>
  <c r="O209" i="2"/>
  <c r="O210" i="4" l="1"/>
  <c r="O210" i="2"/>
  <c r="O211" i="4" l="1"/>
  <c r="O211" i="2"/>
  <c r="O212" i="4" l="1"/>
  <c r="O212" i="2"/>
  <c r="O213" i="4" l="1"/>
  <c r="O213" i="2"/>
  <c r="O214" i="4" l="1"/>
  <c r="O214" i="2"/>
  <c r="O215" i="4" l="1"/>
  <c r="O215" i="2"/>
  <c r="O216" i="4" l="1"/>
  <c r="O217" i="2"/>
  <c r="O216" i="2"/>
  <c r="O217" i="4" l="1"/>
  <c r="O218" i="2"/>
  <c r="O218" i="4" l="1"/>
  <c r="O219" i="2"/>
  <c r="O219" i="4" l="1"/>
  <c r="O220" i="2"/>
  <c r="O220" i="4" l="1"/>
  <c r="O221" i="2"/>
  <c r="O221" i="4" l="1"/>
  <c r="O222" i="2"/>
  <c r="O222" i="4" l="1"/>
  <c r="O223" i="2"/>
  <c r="O223" i="4" l="1"/>
  <c r="O224" i="2"/>
  <c r="O224" i="4" l="1"/>
  <c r="O225" i="2"/>
  <c r="O225" i="4" l="1"/>
  <c r="O226" i="2"/>
  <c r="O226" i="4" l="1"/>
  <c r="O227" i="2"/>
  <c r="O227" i="4" l="1"/>
  <c r="O228" i="2"/>
  <c r="O228" i="4" l="1"/>
  <c r="O229" i="2"/>
  <c r="O229" i="4" l="1"/>
  <c r="O230" i="2"/>
  <c r="O230" i="4" l="1"/>
  <c r="O231" i="2"/>
  <c r="O231" i="4" l="1"/>
  <c r="O232" i="2"/>
  <c r="O232" i="4" l="1"/>
  <c r="O233" i="2"/>
  <c r="O233" i="4" l="1"/>
  <c r="O234" i="2"/>
  <c r="O234" i="4" l="1"/>
  <c r="O235" i="2"/>
  <c r="O235" i="4" l="1"/>
  <c r="O236" i="2"/>
  <c r="O236" i="4" l="1"/>
  <c r="O237" i="2"/>
  <c r="O237" i="4" l="1"/>
  <c r="O238" i="2"/>
  <c r="O238" i="4" l="1"/>
  <c r="O239" i="2"/>
  <c r="O239" i="4" l="1"/>
  <c r="O240" i="2"/>
  <c r="O240" i="4" l="1"/>
  <c r="O241" i="2"/>
  <c r="O241" i="4" l="1"/>
  <c r="O242" i="2"/>
  <c r="O242" i="4" l="1"/>
  <c r="O243" i="2"/>
  <c r="O243" i="4" l="1"/>
  <c r="O244" i="2"/>
  <c r="O244" i="4" l="1"/>
  <c r="O245" i="2"/>
  <c r="O245" i="4" l="1"/>
  <c r="O247" i="2"/>
  <c r="O246" i="2"/>
  <c r="O246" i="4" l="1"/>
  <c r="O247" i="4" l="1"/>
  <c r="O248" i="4" l="1"/>
  <c r="O249" i="4" l="1"/>
  <c r="O250" i="4" l="1"/>
  <c r="O251" i="4" l="1"/>
  <c r="O252" i="4" l="1"/>
  <c r="O253" i="4" l="1"/>
  <c r="O254" i="4" l="1"/>
  <c r="O255" i="4" l="1"/>
  <c r="O256" i="4" l="1"/>
  <c r="O257" i="4" l="1"/>
  <c r="O258" i="4" l="1"/>
  <c r="O259" i="4" l="1"/>
  <c r="O260" i="4" l="1"/>
  <c r="O261" i="4" l="1"/>
  <c r="O262" i="4" l="1"/>
  <c r="O263" i="4" l="1"/>
  <c r="O264" i="4" l="1"/>
  <c r="O265" i="4" l="1"/>
  <c r="O266" i="4" l="1"/>
  <c r="O267" i="4" l="1"/>
  <c r="O268" i="4" l="1"/>
  <c r="O269" i="4" l="1"/>
  <c r="O270" i="4" l="1"/>
  <c r="O271" i="4" l="1"/>
  <c r="O272" i="4" l="1"/>
  <c r="O273" i="4" l="1"/>
  <c r="O274" i="4" l="1"/>
  <c r="O275" i="4" l="1"/>
  <c r="O276" i="4" l="1"/>
  <c r="O277" i="4"/>
</calcChain>
</file>

<file path=xl/sharedStrings.xml><?xml version="1.0" encoding="utf-8"?>
<sst xmlns="http://schemas.openxmlformats.org/spreadsheetml/2006/main" count="75" uniqueCount="58">
  <si>
    <t>WBS</t>
  </si>
  <si>
    <t>Division</t>
  </si>
  <si>
    <t>Start Date</t>
  </si>
  <si>
    <t>Finish Date</t>
  </si>
  <si>
    <t>Budget</t>
  </si>
  <si>
    <t>Duration</t>
  </si>
  <si>
    <t>General Conditions</t>
  </si>
  <si>
    <t>Existing Conditions</t>
  </si>
  <si>
    <t>Concrete</t>
  </si>
  <si>
    <t>Woods, Plastics, Composites</t>
  </si>
  <si>
    <t>Thermal &amp; Moisture</t>
  </si>
  <si>
    <t>Finishes</t>
  </si>
  <si>
    <t>Plumbing</t>
  </si>
  <si>
    <t>Electrical</t>
  </si>
  <si>
    <t>HVAC</t>
  </si>
  <si>
    <t>1.7.1</t>
  </si>
  <si>
    <t>1.7.2</t>
  </si>
  <si>
    <t>1.7.3</t>
  </si>
  <si>
    <t>1.8.1</t>
  </si>
  <si>
    <t>1.8.2</t>
  </si>
  <si>
    <t>1.8.3</t>
  </si>
  <si>
    <t>1.9.1</t>
  </si>
  <si>
    <t>1.9.2</t>
  </si>
  <si>
    <t>Rough Plumbing</t>
  </si>
  <si>
    <t>Finish Plumbing</t>
  </si>
  <si>
    <t>Underground Plumbing</t>
  </si>
  <si>
    <t>Underground Electrical</t>
  </si>
  <si>
    <t>Rough Electrical</t>
  </si>
  <si>
    <t>Finish Electrical</t>
  </si>
  <si>
    <t>Rough HVAC</t>
  </si>
  <si>
    <t>Finish HVAC</t>
  </si>
  <si>
    <t>Date</t>
  </si>
  <si>
    <t>Cumulative Cost</t>
  </si>
  <si>
    <t>Cumulative Revenue</t>
  </si>
  <si>
    <t>Revenue</t>
  </si>
  <si>
    <t>Revenue per Day</t>
  </si>
  <si>
    <t>Labor</t>
  </si>
  <si>
    <t>Material</t>
  </si>
  <si>
    <t>Equipment</t>
  </si>
  <si>
    <t>Subcontractor</t>
  </si>
  <si>
    <t>Other</t>
  </si>
  <si>
    <t>Labor CPP</t>
  </si>
  <si>
    <t>Material CPP</t>
  </si>
  <si>
    <t>Equipment CPP</t>
  </si>
  <si>
    <t>Sub CPP</t>
  </si>
  <si>
    <t>Other CPP</t>
  </si>
  <si>
    <t>Other Cost</t>
  </si>
  <si>
    <t>Cumulative Other</t>
  </si>
  <si>
    <t>Labor Cost</t>
  </si>
  <si>
    <t>Material Cost</t>
  </si>
  <si>
    <t>Equipment Cost</t>
  </si>
  <si>
    <t>Sub Cost</t>
  </si>
  <si>
    <t>Cost</t>
  </si>
  <si>
    <t>Cumulative Labor</t>
  </si>
  <si>
    <t>Cumulative Material</t>
  </si>
  <si>
    <t>Cumulative Equipment</t>
  </si>
  <si>
    <t>Cumulative Sub</t>
  </si>
  <si>
    <t>Payment Terms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</si>
</sst>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2" applyFont="1"/>
    <xf numFmtId="0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416070</xdr:colOff>
      <xdr:row>18</xdr:row>
      <xdr:rowOff>30690</xdr:rowOff>
    </xdr:from>
    <xdr:to>
      <xdr:col>11</xdr:col>
      <xdr:colOff>416070</xdr:colOff>
      <xdr:row>18</xdr:row>
      <xdr:rowOff>31050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8050516-316D-D0FF-E7DB-7731C044D99B}"/>
                </a:ext>
              </a:extLst>
            </xdr14:cNvPr>
            <xdr14:cNvContentPartPr/>
          </xdr14:nvContentPartPr>
          <xdr14:nvPr macro=""/>
          <xdr14:xfrm>
            <a:off x="4930920" y="3288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8050516-316D-D0FF-E7DB-7731C044D9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26600" y="32839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416070</xdr:colOff>
      <xdr:row>18</xdr:row>
      <xdr:rowOff>30690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0E5BADF-1E48-4C05-9533-F1BF01F523CA}"/>
                </a:ext>
              </a:extLst>
            </xdr14:cNvPr>
            <xdr14:cNvContentPartPr/>
          </xdr14:nvContentPartPr>
          <xdr14:nvPr macro=""/>
          <xdr14:xfrm>
            <a:off x="4930920" y="3288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8050516-316D-D0FF-E7DB-7731C044D9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26600" y="328392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3T22:20:49.9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1T18:43:46.0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1 0 32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BC9D3-0FCD-4028-95A8-484265477321}" name="schedule" displayName="schedule" ref="B2:S19" totalsRowShown="0">
  <autoFilter ref="B2:S19" xr:uid="{C5ABC9D3-0FCD-4028-95A8-4842654773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6FAD2B4-A754-41CD-9BFD-C33F591EE8EF}" name="WBS" dataDxfId="40"/>
    <tableColumn id="2" xr3:uid="{6A68DC5C-5D4A-41C6-A998-2F9C3F4B0CED}" name="Division"/>
    <tableColumn id="3" xr3:uid="{8FE89C1D-53CE-4B1B-A175-023715DC2EE2}" name="Duration"/>
    <tableColumn id="4" xr3:uid="{1E861532-5B6D-4C7E-B9EE-0A5358D94D65}" name="Start Date" dataDxfId="39"/>
    <tableColumn id="5" xr3:uid="{0AD23B9C-C243-4723-8E66-12CB6C9577BF}" name="Finish Date" dataDxfId="38"/>
    <tableColumn id="14" xr3:uid="{0D7A0AF6-613B-461B-9F99-4E0CC1E659AE}" name="Labor" dataCellStyle="Currency"/>
    <tableColumn id="13" xr3:uid="{812C836C-BFE6-41E0-916B-BAE4AA82CD6A}" name="Material" dataCellStyle="Currency"/>
    <tableColumn id="12" xr3:uid="{57A5250B-4733-4608-B204-6D616360FC00}" name="Equipment" dataCellStyle="Currency"/>
    <tableColumn id="15" xr3:uid="{8AE419C8-A6E9-4FD0-9041-EAA128C9516D}" name="Subcontractor" dataCellStyle="Currency"/>
    <tableColumn id="16" xr3:uid="{5DB0F9EF-04AB-4388-B601-4D80C34BEB9E}" name="Other" dataCellStyle="Currency"/>
    <tableColumn id="6" xr3:uid="{188F19A8-E810-4BF6-B0E8-A465358E6CF3}" name="Budget" dataDxfId="37" dataCellStyle="Currency"/>
    <tableColumn id="8" xr3:uid="{0DADA49D-F917-450C-A2C4-230E3316481E}" name="Revenue" dataDxfId="36"/>
    <tableColumn id="22" xr3:uid="{34BDFF87-04AF-44ED-A340-7CFF6DA6EFEE}" name="Labor CPP" dataDxfId="35">
      <calculatedColumnFormula>IF(ISBLANK(schedule[[#This Row],[Duration]]), "", schedule[[#This Row],[Labor]]/schedule[[#This Row],[Duration]])</calculatedColumnFormula>
    </tableColumn>
    <tableColumn id="21" xr3:uid="{78E9CF74-8B82-4608-9FAD-D8FCA5204FCE}" name="Material CPP" dataDxfId="34">
      <calculatedColumnFormula>IF(ISBLANK(schedule[[#This Row],[Duration]]), "", schedule[[#This Row],[Material]]/schedule[[#This Row],[Duration]])</calculatedColumnFormula>
    </tableColumn>
    <tableColumn id="20" xr3:uid="{F07EC3D9-1628-4FCA-B876-5FFD6A2CCBBD}" name="Equipment CPP" dataDxfId="33">
      <calculatedColumnFormula>IF(ISBLANK(schedule[[#This Row],[Duration]]), "", schedule[[#This Row],[Equipment]]/schedule[[#This Row],[Duration]])</calculatedColumnFormula>
    </tableColumn>
    <tableColumn id="23" xr3:uid="{8E2E1D57-8D17-4CD2-927F-71386E7D85E1}" name="Sub CPP" dataDxfId="32">
      <calculatedColumnFormula>IF(ISBLANK(schedule[[#This Row],[Duration]]), "", schedule[[#This Row],[Subcontractor]]/schedule[[#This Row],[Duration]])</calculatedColumnFormula>
    </tableColumn>
    <tableColumn id="10" xr3:uid="{25283B9B-DAD8-4340-A5B1-699187859F5F}" name="Other CPP" dataDxfId="31" dataCellStyle="Currency">
      <calculatedColumnFormula>IF(ISBLANK(schedule[[#This Row],[Duration]]), "", schedule[[#This Row],[Other]]/schedule[[#This Row],[Duration]])</calculatedColumnFormula>
    </tableColumn>
    <tableColumn id="9" xr3:uid="{DB30C039-66B4-4829-BA57-C051F30DD6B4}" name="Revenue per Day" dataDxfId="30">
      <calculatedColumnFormula>IF(ISBLANK(schedule[[#This Row],[Duration]]), "", schedule[[#This Row],[Revenue]]/schedule[[#This Row],[Duration]])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CF1D3-63B1-4FF4-BF09-7DF55D33535D}" name="day_cash" displayName="day_cash" ref="B4:P247" totalsRowShown="0">
  <autoFilter ref="B4:P247" xr:uid="{DEFCF1D3-63B1-4FF4-BF09-7DF55D33535D}"/>
  <tableColumns count="15">
    <tableColumn id="1" xr3:uid="{FB367E37-00EE-42EA-BDC9-44A219A2B9B0}" name="Date" dataDxfId="29"/>
    <tableColumn id="17" xr3:uid="{43C226F6-9AD6-4758-B612-C86E881DDCE9}" name="Labor Cost" dataDxfId="28">
      <calculatedColumnFormula>SUMIFS(schedule[Labor CPP], schedule[Start Date],"&lt;="&amp;day_cash[[#This Row],[Date]], schedule[Finish Date],"&gt;="&amp;day_cash[[#This Row],[Date]])</calculatedColumnFormula>
    </tableColumn>
    <tableColumn id="16" xr3:uid="{5356E54D-D80C-4482-9EB2-939434413722}" name="Material Cost" dataDxfId="27">
      <calculatedColumnFormula>SUMIFS(schedule[Material CPP], schedule[Start Date],"&lt;="&amp;day_cash[[#This Row],[Date]]-$D$2, schedule[Finish Date],"&gt;="&amp;day_cash[[#This Row],[Date]]-$D$2)</calculatedColumnFormula>
    </tableColumn>
    <tableColumn id="15" xr3:uid="{A04BB3BD-8CC5-426A-AF33-5B2E59174C85}" name="Equipment Cost" dataDxfId="26">
      <calculatedColumnFormula>SUMIFS(schedule[Equipment CPP], schedule[Start Date],"&lt;="&amp;day_cash[[#This Row],[Date]]-$E$2, schedule[Finish Date],"&gt;="&amp;day_cash[[#This Row],[Date]]-$E$2)</calculatedColumnFormula>
    </tableColumn>
    <tableColumn id="14" xr3:uid="{FA1EA2BD-BFD5-4D0A-AE7E-9272C57AFF50}" name="Sub Cost" dataDxfId="25">
      <calculatedColumnFormula>SUMIFS(schedule[Sub CPP], schedule[Start Date],"&lt;="&amp;day_cash[[#This Row],[Date]]-$F$2, schedule[Finish Date],"&gt;="&amp;day_cash[[#This Row],[Date]]-$F$2)</calculatedColumnFormula>
    </tableColumn>
    <tableColumn id="2" xr3:uid="{ECFD653B-2082-44B5-95E5-F2C231363E92}" name="Other Cost" dataDxfId="24" dataCellStyle="Currency">
      <calculatedColumnFormula>SUMIFS(schedule[Other CPP], schedule[Start Date],"&lt;="&amp;day_cash[[#This Row],[Date]]-$G$2, schedule[Finish Date],"&gt;="&amp;day_cash[[#This Row],[Date]]-$G$2)</calculatedColumnFormula>
    </tableColumn>
    <tableColumn id="12" xr3:uid="{1437466F-F094-49D6-876A-22BC79DDBC5D}" name="Cost" dataDxfId="23" dataCellStyle="Currency">
      <calculatedColumnFormula>SUM(day_cash[[#This Row],[Labor Cost]:[Other Cost]])</calculatedColumnFormula>
    </tableColumn>
    <tableColumn id="5" xr3:uid="{A12F7661-7E8F-4B3A-99BB-4C50C35C9F41}" name="Revenue" dataDxfId="22" dataCellStyle="Currency">
      <calculatedColumnFormula>SUMIFS(schedule[Revenue per Day], schedule[Start Date],"&lt;="&amp;day_cash[[#This Row],[Date]]-$I$2, schedule[Finish Date],"&gt;="&amp;day_cash[[#This Row],[Date]]-$I$2)</calculatedColumnFormula>
    </tableColumn>
    <tableColumn id="21" xr3:uid="{F699E35D-E332-4E87-9BD1-3A9101A7C011}" name="Cumulative Labor" dataDxfId="11" dataCellStyle="Currency">
      <calculatedColumnFormula>SUM(day_cash[[#Headers],[Labor Cost]]:day_cash[[#This Row],[Labor Cost]])</calculatedColumnFormula>
    </tableColumn>
    <tableColumn id="20" xr3:uid="{214841F0-BD5E-4A67-9871-B0D8592F0E92}" name="Cumulative Material" dataDxfId="10" dataCellStyle="Currency">
      <calculatedColumnFormula>SUM(day_cash[[#Headers],[Material Cost]]:day_cash[[#This Row],[Material Cost]])</calculatedColumnFormula>
    </tableColumn>
    <tableColumn id="19" xr3:uid="{113D93CC-0E51-45C1-8960-8C1E7A6BE037}" name="Cumulative Equipment" dataDxfId="9" dataCellStyle="Currency">
      <calculatedColumnFormula>SUM(day_cash[[#Headers],[Equipment Cost]]:day_cash[[#This Row],[Equipment Cost]])</calculatedColumnFormula>
    </tableColumn>
    <tableColumn id="18" xr3:uid="{FE4A2C82-2CE7-44C1-8414-0BF2A4807495}" name="Cumulative Sub" dataDxfId="8" dataCellStyle="Currency">
      <calculatedColumnFormula>SUM(day_cash[[#Headers],[Sub Cost]]:day_cash[[#This Row],[Sub Cost]])</calculatedColumnFormula>
    </tableColumn>
    <tableColumn id="3" xr3:uid="{C4D512A9-9FFB-40AE-858D-D6CE1EAA758A}" name="Cumulative Other" dataDxfId="7" dataCellStyle="Currency">
      <calculatedColumnFormula>SUM(day_cash[[#Headers],[Other Cost]]:day_cash[[#This Row],[Other Cost]])</calculatedColumnFormula>
    </tableColumn>
    <tableColumn id="8" xr3:uid="{5C5FBAC1-FBAE-4292-9DA6-161E691A276A}" name="Cumulative Cost" dataDxfId="21" dataCellStyle="Currency">
      <calculatedColumnFormula>SUM(day_cash[[#This Row],[Cumulative Labor]:[Cumulative Other]])</calculatedColumnFormula>
    </tableColumn>
    <tableColumn id="6" xr3:uid="{D63BAF57-D8EF-4133-8B93-908E4589BC9F}" name="Cumulative Revenue" dataDxfId="6" dataCellStyle="Currency">
      <calculatedColumnFormula>SUM(day_cash[[#Headers],[Revenue]]:day_cash[[#This Row],[Revenue]])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77261D-2C74-4A27-9F24-EBC0F95236BD}" name="day_cash_behind" displayName="day_cash_behind" ref="B4:P277" totalsRowShown="0">
  <autoFilter ref="B4:P277" xr:uid="{DEFCF1D3-63B1-4FF4-BF09-7DF55D33535D}"/>
  <tableColumns count="15">
    <tableColumn id="1" xr3:uid="{0DA31209-E52B-4933-95E6-E4C9E5DFB010}" name="Date" dataDxfId="20"/>
    <tableColumn id="17" xr3:uid="{B8BEF245-325D-4822-8102-CAE6E55244A0}" name="Labor Cost" dataDxfId="19">
      <calculatedColumnFormula>SUMIFS(schedule[Labor CPP], schedule[Start Date],"&lt;="&amp;day_cash_behind[[#This Row],[Date]], schedule[Finish Date],"&gt;="&amp;day_cash_behind[[#This Row],[Date]])</calculatedColumnFormula>
    </tableColumn>
    <tableColumn id="16" xr3:uid="{8927F2A5-B8A7-4DBB-A789-FEE0B3597A65}" name="Material Cost" dataDxfId="18">
      <calculatedColumnFormula>SUMIFS(schedule[Material CPP], schedule[Start Date],"&lt;="&amp;day_cash_behind[[#This Row],[Date]]-$D$2, schedule[Finish Date],"&gt;="&amp;day_cash_behind[[#This Row],[Date]]-$D$2)</calculatedColumnFormula>
    </tableColumn>
    <tableColumn id="15" xr3:uid="{F55122A5-56D8-417D-9203-DEF9195AAFE2}" name="Equipment Cost" dataDxfId="17">
      <calculatedColumnFormula>SUMIFS(schedule[Equipment CPP], schedule[Start Date],"&lt;="&amp;day_cash_behind[[#This Row],[Date]]-$E$2, schedule[Finish Date],"&gt;="&amp;day_cash_behind[[#This Row],[Date]]-$E$2)</calculatedColumnFormula>
    </tableColumn>
    <tableColumn id="14" xr3:uid="{E0E80542-E917-42E6-92D1-3B0BC7CFA24C}" name="Sub Cost" dataDxfId="16">
      <calculatedColumnFormula>SUMIFS(schedule[Sub CPP], schedule[Start Date],"&lt;="&amp;day_cash_behind[[#This Row],[Date]]-$F$2, schedule[Finish Date],"&gt;="&amp;day_cash_behind[[#This Row],[Date]]-$F$2)</calculatedColumnFormula>
    </tableColumn>
    <tableColumn id="2" xr3:uid="{5D461247-1F20-4316-BEFB-F38798B0BA51}" name="Other Cost" dataDxfId="15" dataCellStyle="Currency">
      <calculatedColumnFormula>SUMIFS(schedule[Other CPP], schedule[Start Date],"&lt;="&amp;day_cash_behind[[#This Row],[Date]]-$G$2, schedule[Finish Date],"&gt;="&amp;day_cash_behind[[#This Row],[Date]]-$G$2)</calculatedColumnFormula>
    </tableColumn>
    <tableColumn id="12" xr3:uid="{B64296E3-3A16-4B27-9E7A-EFD9097A6B2C}" name="Cost" dataDxfId="14" dataCellStyle="Currency">
      <calculatedColumnFormula>SUM(day_cash_behind[[#This Row],[Labor Cost]:[Other Cost]])</calculatedColumnFormula>
    </tableColumn>
    <tableColumn id="5" xr3:uid="{35C5CC15-EEE2-4F7E-9177-61125D6C947A}" name="Revenue" dataDxfId="13" dataCellStyle="Currency">
      <calculatedColumnFormula>SUMIFS(schedule[Revenue per Day], schedule[Start Date],"&lt;="&amp;day_cash_behind[[#This Row],[Date]]-$I$2, schedule[Finish Date],"&gt;="&amp;day_cash_behind[[#This Row],[Date]]-$I$2)</calculatedColumnFormula>
    </tableColumn>
    <tableColumn id="21" xr3:uid="{70545032-39FA-46A7-9BE2-7A244642F8D7}" name="Cumulative Labor" dataDxfId="5" dataCellStyle="Currency">
      <calculatedColumnFormula>SUM(day_cash_behind[[#Headers],[Labor Cost]]:day_cash_behind[[#This Row],[Labor Cost]])</calculatedColumnFormula>
    </tableColumn>
    <tableColumn id="20" xr3:uid="{4830B707-BD00-49BE-BA7B-8BEF75A29214}" name="Cumulative Material" dataDxfId="4" dataCellStyle="Currency">
      <calculatedColumnFormula>SUM(day_cash_behind[[#Headers],[Material Cost]]:day_cash_behind[[#This Row],[Material Cost]])</calculatedColumnFormula>
    </tableColumn>
    <tableColumn id="19" xr3:uid="{3EC8FD72-CEE3-4E5B-B6A4-E99825981D2F}" name="Cumulative Equipment" dataDxfId="3" dataCellStyle="Currency">
      <calculatedColumnFormula>SUM(day_cash_behind[[#Headers],[Equipment Cost]]:day_cash_behind[[#This Row],[Equipment Cost]])</calculatedColumnFormula>
    </tableColumn>
    <tableColumn id="18" xr3:uid="{5D7DCC4C-5B9A-4BF5-99AA-5D3AABFAECBD}" name="Cumulative Sub" dataDxfId="2" dataCellStyle="Currency">
      <calculatedColumnFormula>SUM(day_cash_behind[[#Headers],[Sub Cost]]:day_cash_behind[[#This Row],[Sub Cost]])</calculatedColumnFormula>
    </tableColumn>
    <tableColumn id="3" xr3:uid="{B1583B39-25BD-48DB-9E33-DC44E78A5C8F}" name="Cumulative Other" dataDxfId="1" dataCellStyle="Currency">
      <calculatedColumnFormula>SUM(day_cash_behind[[#Headers],[Other Cost]]:day_cash_behind[[#This Row],[Other Cost]])</calculatedColumnFormula>
    </tableColumn>
    <tableColumn id="8" xr3:uid="{2B745226-A94D-4BF1-93F6-2987C19E23CF}" name="Cumulative Cost" dataDxfId="12" dataCellStyle="Currency">
      <calculatedColumnFormula>SUM(day_cash_behind[[#This Row],[Cumulative Labor]:[Cumulative Other]])</calculatedColumnFormula>
    </tableColumn>
    <tableColumn id="6" xr3:uid="{912CD5F1-2AE4-4E5B-9E38-068B6B6FB870}" name="Cumulative Revenue" dataDxfId="0" dataCellStyle="Currency">
      <calculatedColumnFormula>SUM(day_cash_behind[[#Headers],[Revenue]]:day_cash_behind[[#This Row],[Revenue]])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3"/>
  <sheetViews>
    <sheetView showGridLines="0" tabSelected="1" zoomScale="90" zoomScaleNormal="90" workbookViewId="0">
      <selection activeCell="N3" sqref="N3"/>
    </sheetView>
  </sheetViews>
  <sheetFormatPr defaultRowHeight="14.25" x14ac:dyDescent="0.45"/>
  <cols>
    <col min="2" max="2" width="4.6640625" style="2" bestFit="1" customWidth="1"/>
    <col min="3" max="3" width="23.1328125" bestFit="1" customWidth="1"/>
    <col min="4" max="4" width="7.86328125" customWidth="1"/>
    <col min="5" max="5" width="9.19921875" customWidth="1"/>
    <col min="6" max="6" width="9.73046875" customWidth="1"/>
    <col min="7" max="7" width="11.86328125" style="3" customWidth="1"/>
    <col min="8" max="9" width="10.86328125" style="3" customWidth="1"/>
    <col min="10" max="10" width="13.46484375" style="3" customWidth="1"/>
    <col min="11" max="11" width="10.86328125" style="3" customWidth="1"/>
    <col min="12" max="12" width="13.3984375" style="3" customWidth="1"/>
    <col min="13" max="13" width="13.3984375" customWidth="1"/>
    <col min="14" max="14" width="9.86328125" customWidth="1"/>
    <col min="15" max="15" width="11" customWidth="1"/>
    <col min="16" max="16" width="13.19921875" customWidth="1"/>
    <col min="17" max="17" width="10.86328125" customWidth="1"/>
    <col min="18" max="18" width="10.1328125" style="3" customWidth="1"/>
    <col min="19" max="19" width="14.6640625" customWidth="1"/>
  </cols>
  <sheetData>
    <row r="2" spans="2:19" x14ac:dyDescent="0.45">
      <c r="B2" s="2" t="s">
        <v>0</v>
      </c>
      <c r="C2" t="s">
        <v>1</v>
      </c>
      <c r="D2" t="s">
        <v>5</v>
      </c>
      <c r="E2" t="s">
        <v>2</v>
      </c>
      <c r="F2" t="s">
        <v>3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</v>
      </c>
      <c r="M2" t="s">
        <v>34</v>
      </c>
      <c r="N2" t="s">
        <v>41</v>
      </c>
      <c r="O2" t="s">
        <v>42</v>
      </c>
      <c r="P2" t="s">
        <v>43</v>
      </c>
      <c r="Q2" t="s">
        <v>44</v>
      </c>
      <c r="R2" s="3" t="s">
        <v>45</v>
      </c>
      <c r="S2" t="s">
        <v>35</v>
      </c>
    </row>
    <row r="3" spans="2:19" x14ac:dyDescent="0.45">
      <c r="B3" s="2">
        <v>1.1000000000000001</v>
      </c>
      <c r="C3" t="s">
        <v>6</v>
      </c>
      <c r="D3">
        <f>(schedule[[#This Row],[Finish Date]]-schedule[[#This Row],[Start Date]])+1</f>
        <v>159</v>
      </c>
      <c r="E3" s="1">
        <v>46391</v>
      </c>
      <c r="F3" s="1">
        <v>46549</v>
      </c>
      <c r="G3" s="3">
        <v>150000</v>
      </c>
      <c r="I3" s="3">
        <v>75000</v>
      </c>
      <c r="K3" s="3">
        <v>50000</v>
      </c>
      <c r="L3" s="3">
        <f>SUM(schedule[[#This Row],[Labor]:[Other]])</f>
        <v>275000</v>
      </c>
      <c r="M3" s="4">
        <v>332750</v>
      </c>
      <c r="N3" s="3">
        <f>IF(ISBLANK(schedule[[#This Row],[Duration]]), "", schedule[[#This Row],[Labor]]/schedule[[#This Row],[Duration]])</f>
        <v>943.39622641509436</v>
      </c>
      <c r="O3" s="3">
        <f>IF(ISBLANK(schedule[[#This Row],[Duration]]), "", schedule[[#This Row],[Material]]/schedule[[#This Row],[Duration]])</f>
        <v>0</v>
      </c>
      <c r="P3" s="3">
        <f>IF(ISBLANK(schedule[[#This Row],[Duration]]), "", schedule[[#This Row],[Equipment]]/schedule[[#This Row],[Duration]])</f>
        <v>471.69811320754718</v>
      </c>
      <c r="Q3" s="3">
        <f>IF(ISBLANK(schedule[[#This Row],[Duration]]), "", schedule[[#This Row],[Subcontractor]]/schedule[[#This Row],[Duration]])</f>
        <v>0</v>
      </c>
      <c r="R3" s="3">
        <f>IF(ISBLANK(schedule[[#This Row],[Duration]]), "", schedule[[#This Row],[Other]]/schedule[[#This Row],[Duration]])</f>
        <v>314.46540880503147</v>
      </c>
      <c r="S3" s="3">
        <f>IF(ISBLANK(schedule[[#This Row],[Duration]]), "", schedule[[#This Row],[Revenue]]/schedule[[#This Row],[Duration]])</f>
        <v>2092.7672955974845</v>
      </c>
    </row>
    <row r="4" spans="2:19" x14ac:dyDescent="0.45">
      <c r="B4" s="2">
        <v>1.2</v>
      </c>
      <c r="C4" t="s">
        <v>7</v>
      </c>
      <c r="D4">
        <f>(schedule[[#This Row],[Finish Date]]-schedule[[#This Row],[Start Date]])+1</f>
        <v>46</v>
      </c>
      <c r="E4" s="1">
        <v>46399</v>
      </c>
      <c r="F4" s="1">
        <v>46444</v>
      </c>
      <c r="G4" s="3">
        <v>42500</v>
      </c>
      <c r="H4" s="3">
        <v>15000</v>
      </c>
      <c r="K4" s="3">
        <v>8500</v>
      </c>
      <c r="L4" s="3">
        <f>SUM(schedule[[#This Row],[Labor]:[Other]])</f>
        <v>66000</v>
      </c>
      <c r="M4" s="4">
        <v>77220</v>
      </c>
      <c r="N4" s="4">
        <f>IF(ISBLANK(schedule[[#This Row],[Duration]]), "", schedule[[#This Row],[Labor]]/schedule[[#This Row],[Duration]])</f>
        <v>923.91304347826087</v>
      </c>
      <c r="O4" s="4">
        <f>IF(ISBLANK(schedule[[#This Row],[Duration]]), "", schedule[[#This Row],[Material]]/schedule[[#This Row],[Duration]])</f>
        <v>326.08695652173913</v>
      </c>
      <c r="P4" s="4">
        <f>IF(ISBLANK(schedule[[#This Row],[Duration]]), "", schedule[[#This Row],[Equipment]]/schedule[[#This Row],[Duration]])</f>
        <v>0</v>
      </c>
      <c r="Q4" s="4">
        <f>IF(ISBLANK(schedule[[#This Row],[Duration]]), "", schedule[[#This Row],[Subcontractor]]/schedule[[#This Row],[Duration]])</f>
        <v>0</v>
      </c>
      <c r="R4" s="3">
        <f>IF(ISBLANK(schedule[[#This Row],[Duration]]), "", schedule[[#This Row],[Other]]/schedule[[#This Row],[Duration]])</f>
        <v>184.78260869565219</v>
      </c>
      <c r="S4" s="4">
        <f>IF(ISBLANK(schedule[[#This Row],[Duration]]), "", schedule[[#This Row],[Revenue]]/schedule[[#This Row],[Duration]])</f>
        <v>1678.695652173913</v>
      </c>
    </row>
    <row r="5" spans="2:19" x14ac:dyDescent="0.45">
      <c r="B5" s="2">
        <v>1.3</v>
      </c>
      <c r="C5" t="s">
        <v>8</v>
      </c>
      <c r="D5">
        <f>(schedule[[#This Row],[Finish Date]]-schedule[[#This Row],[Start Date]])+1</f>
        <v>19</v>
      </c>
      <c r="E5" s="1">
        <v>46433</v>
      </c>
      <c r="F5" s="1">
        <v>46451</v>
      </c>
      <c r="G5" s="3">
        <v>37500</v>
      </c>
      <c r="H5" s="3">
        <f>schedule[[#This Row],[Labor]]*0.7</f>
        <v>26250</v>
      </c>
      <c r="I5" s="3">
        <v>5500</v>
      </c>
      <c r="L5" s="3">
        <f>SUM(schedule[[#This Row],[Labor]:[Other]])</f>
        <v>69250</v>
      </c>
      <c r="M5" s="4">
        <v>86562.5</v>
      </c>
      <c r="N5" s="4">
        <f>IF(ISBLANK(schedule[[#This Row],[Duration]]), "", schedule[[#This Row],[Labor]]/schedule[[#This Row],[Duration]])</f>
        <v>1973.6842105263158</v>
      </c>
      <c r="O5" s="4">
        <f>IF(ISBLANK(schedule[[#This Row],[Duration]]), "", schedule[[#This Row],[Material]]/schedule[[#This Row],[Duration]])</f>
        <v>1381.578947368421</v>
      </c>
      <c r="P5" s="4">
        <f>IF(ISBLANK(schedule[[#This Row],[Duration]]), "", schedule[[#This Row],[Equipment]]/schedule[[#This Row],[Duration]])</f>
        <v>289.4736842105263</v>
      </c>
      <c r="Q5" s="4">
        <f>IF(ISBLANK(schedule[[#This Row],[Duration]]), "", schedule[[#This Row],[Subcontractor]]/schedule[[#This Row],[Duration]])</f>
        <v>0</v>
      </c>
      <c r="R5" s="3">
        <f>IF(ISBLANK(schedule[[#This Row],[Duration]]), "", schedule[[#This Row],[Other]]/schedule[[#This Row],[Duration]])</f>
        <v>0</v>
      </c>
      <c r="S5" s="4">
        <f>IF(ISBLANK(schedule[[#This Row],[Duration]]), "", schedule[[#This Row],[Revenue]]/schedule[[#This Row],[Duration]])</f>
        <v>4555.9210526315792</v>
      </c>
    </row>
    <row r="6" spans="2:19" x14ac:dyDescent="0.45">
      <c r="B6" s="2">
        <v>1.4</v>
      </c>
      <c r="C6" t="s">
        <v>9</v>
      </c>
      <c r="D6">
        <f>(schedule[[#This Row],[Finish Date]]-schedule[[#This Row],[Start Date]])+1</f>
        <v>43</v>
      </c>
      <c r="E6" s="1">
        <v>46451</v>
      </c>
      <c r="F6" s="1">
        <v>46493</v>
      </c>
      <c r="G6" s="3">
        <v>175000</v>
      </c>
      <c r="H6" s="3">
        <v>75000</v>
      </c>
      <c r="L6" s="3">
        <f>SUM(schedule[[#This Row],[Labor]:[Other]])</f>
        <v>250000</v>
      </c>
      <c r="M6" s="4">
        <v>300000</v>
      </c>
      <c r="N6" s="4">
        <f>IF(ISBLANK(schedule[[#This Row],[Duration]]), "", schedule[[#This Row],[Labor]]/schedule[[#This Row],[Duration]])</f>
        <v>4069.7674418604652</v>
      </c>
      <c r="O6" s="4">
        <f>IF(ISBLANK(schedule[[#This Row],[Duration]]), "", schedule[[#This Row],[Material]]/schedule[[#This Row],[Duration]])</f>
        <v>1744.1860465116279</v>
      </c>
      <c r="P6" s="4">
        <f>IF(ISBLANK(schedule[[#This Row],[Duration]]), "", schedule[[#This Row],[Equipment]]/schedule[[#This Row],[Duration]])</f>
        <v>0</v>
      </c>
      <c r="Q6" s="4">
        <f>IF(ISBLANK(schedule[[#This Row],[Duration]]), "", schedule[[#This Row],[Subcontractor]]/schedule[[#This Row],[Duration]])</f>
        <v>0</v>
      </c>
      <c r="R6" s="3">
        <f>IF(ISBLANK(schedule[[#This Row],[Duration]]), "", schedule[[#This Row],[Other]]/schedule[[#This Row],[Duration]])</f>
        <v>0</v>
      </c>
      <c r="S6" s="4">
        <f>IF(ISBLANK(schedule[[#This Row],[Duration]]), "", schedule[[#This Row],[Revenue]]/schedule[[#This Row],[Duration]])</f>
        <v>6976.7441860465115</v>
      </c>
    </row>
    <row r="7" spans="2:19" x14ac:dyDescent="0.45">
      <c r="B7" s="2">
        <v>1.5</v>
      </c>
      <c r="C7" t="s">
        <v>10</v>
      </c>
      <c r="D7">
        <f>(schedule[[#This Row],[Finish Date]]-schedule[[#This Row],[Start Date]])+1</f>
        <v>15</v>
      </c>
      <c r="E7" s="1">
        <v>46465</v>
      </c>
      <c r="F7" s="1">
        <v>46479</v>
      </c>
      <c r="G7" s="3">
        <v>55000</v>
      </c>
      <c r="H7" s="3">
        <v>47500</v>
      </c>
      <c r="I7" s="3">
        <v>7500</v>
      </c>
      <c r="L7" s="3">
        <f>SUM(schedule[[#This Row],[Labor]:[Other]])</f>
        <v>110000</v>
      </c>
      <c r="M7" s="4">
        <v>145200</v>
      </c>
      <c r="N7" s="4">
        <f>IF(ISBLANK(schedule[[#This Row],[Duration]]), "", schedule[[#This Row],[Labor]]/schedule[[#This Row],[Duration]])</f>
        <v>3666.6666666666665</v>
      </c>
      <c r="O7" s="4">
        <f>IF(ISBLANK(schedule[[#This Row],[Duration]]), "", schedule[[#This Row],[Material]]/schedule[[#This Row],[Duration]])</f>
        <v>3166.6666666666665</v>
      </c>
      <c r="P7" s="4">
        <f>IF(ISBLANK(schedule[[#This Row],[Duration]]), "", schedule[[#This Row],[Equipment]]/schedule[[#This Row],[Duration]])</f>
        <v>500</v>
      </c>
      <c r="Q7" s="4">
        <f>IF(ISBLANK(schedule[[#This Row],[Duration]]), "", schedule[[#This Row],[Subcontractor]]/schedule[[#This Row],[Duration]])</f>
        <v>0</v>
      </c>
      <c r="R7" s="3">
        <f>IF(ISBLANK(schedule[[#This Row],[Duration]]), "", schedule[[#This Row],[Other]]/schedule[[#This Row],[Duration]])</f>
        <v>0</v>
      </c>
      <c r="S7" s="4">
        <f>IF(ISBLANK(schedule[[#This Row],[Duration]]), "", schedule[[#This Row],[Revenue]]/schedule[[#This Row],[Duration]])</f>
        <v>9680</v>
      </c>
    </row>
    <row r="8" spans="2:19" x14ac:dyDescent="0.45">
      <c r="B8" s="2">
        <v>1.6</v>
      </c>
      <c r="C8" t="s">
        <v>11</v>
      </c>
      <c r="D8">
        <f>(schedule[[#This Row],[Finish Date]]-schedule[[#This Row],[Start Date]])+1</f>
        <v>71</v>
      </c>
      <c r="E8" s="1">
        <v>46479</v>
      </c>
      <c r="F8" s="1">
        <v>46549</v>
      </c>
      <c r="G8" s="3">
        <v>135000</v>
      </c>
      <c r="H8" s="3">
        <v>97500</v>
      </c>
      <c r="J8" s="3">
        <v>137500</v>
      </c>
      <c r="L8" s="3">
        <f>SUM(schedule[[#This Row],[Labor]:[Other]])</f>
        <v>370000</v>
      </c>
      <c r="M8" s="4">
        <v>444000</v>
      </c>
      <c r="N8" s="4">
        <f>IF(ISBLANK(schedule[[#This Row],[Duration]]), "", schedule[[#This Row],[Labor]]/schedule[[#This Row],[Duration]])</f>
        <v>1901.4084507042253</v>
      </c>
      <c r="O8" s="4">
        <f>IF(ISBLANK(schedule[[#This Row],[Duration]]), "", schedule[[#This Row],[Material]]/schedule[[#This Row],[Duration]])</f>
        <v>1373.2394366197184</v>
      </c>
      <c r="P8" s="4">
        <f>IF(ISBLANK(schedule[[#This Row],[Duration]]), "", schedule[[#This Row],[Equipment]]/schedule[[#This Row],[Duration]])</f>
        <v>0</v>
      </c>
      <c r="Q8" s="4">
        <f>IF(ISBLANK(schedule[[#This Row],[Duration]]), "", schedule[[#This Row],[Subcontractor]]/schedule[[#This Row],[Duration]])</f>
        <v>1936.6197183098591</v>
      </c>
      <c r="R8" s="3">
        <f>IF(ISBLANK(schedule[[#This Row],[Duration]]), "", schedule[[#This Row],[Other]]/schedule[[#This Row],[Duration]])</f>
        <v>0</v>
      </c>
      <c r="S8" s="4">
        <f>IF(ISBLANK(schedule[[#This Row],[Duration]]), "", schedule[[#This Row],[Revenue]]/schedule[[#This Row],[Duration]])</f>
        <v>6253.5211267605637</v>
      </c>
    </row>
    <row r="9" spans="2:19" x14ac:dyDescent="0.45">
      <c r="B9" s="2">
        <v>1.7</v>
      </c>
      <c r="C9" t="s">
        <v>12</v>
      </c>
      <c r="M9" s="4"/>
      <c r="N9" s="4" t="str">
        <f>IF(ISBLANK(schedule[[#This Row],[Duration]]), "", schedule[[#This Row],[Labor]]/schedule[[#This Row],[Duration]])</f>
        <v/>
      </c>
      <c r="O9" s="4" t="str">
        <f>IF(ISBLANK(schedule[[#This Row],[Duration]]), "", schedule[[#This Row],[Material]]/schedule[[#This Row],[Duration]])</f>
        <v/>
      </c>
      <c r="P9" s="4" t="str">
        <f>IF(ISBLANK(schedule[[#This Row],[Duration]]), "", schedule[[#This Row],[Equipment]]/schedule[[#This Row],[Duration]])</f>
        <v/>
      </c>
      <c r="Q9" s="4" t="str">
        <f>IF(ISBLANK(schedule[[#This Row],[Duration]]), "", schedule[[#This Row],[Subcontractor]]/schedule[[#This Row],[Duration]])</f>
        <v/>
      </c>
      <c r="R9" s="3" t="str">
        <f>IF(ISBLANK(schedule[[#This Row],[Duration]]), "", schedule[[#This Row],[Other]]/schedule[[#This Row],[Duration]])</f>
        <v/>
      </c>
      <c r="S9" s="4" t="str">
        <f>IF(ISBLANK(schedule[[#This Row],[Duration]]), "", schedule[[#This Row],[Revenue]]/schedule[[#This Row],[Duration]])</f>
        <v/>
      </c>
    </row>
    <row r="10" spans="2:19" x14ac:dyDescent="0.45">
      <c r="B10" s="2" t="s">
        <v>15</v>
      </c>
      <c r="C10" t="s">
        <v>25</v>
      </c>
      <c r="D10">
        <f>(schedule[[#This Row],[Finish Date]]-schedule[[#This Row],[Start Date]])+1</f>
        <v>19</v>
      </c>
      <c r="E10" s="1">
        <v>46419</v>
      </c>
      <c r="F10" s="1">
        <v>46437</v>
      </c>
      <c r="J10" s="3">
        <v>22500</v>
      </c>
      <c r="L10" s="3">
        <f>SUM(schedule[[#This Row],[Labor]:[Other]])</f>
        <v>22500</v>
      </c>
      <c r="M10" s="4">
        <v>27900</v>
      </c>
      <c r="N10" s="4">
        <f>IF(ISBLANK(schedule[[#This Row],[Duration]]), "", schedule[[#This Row],[Labor]]/schedule[[#This Row],[Duration]])</f>
        <v>0</v>
      </c>
      <c r="O10" s="4">
        <f>IF(ISBLANK(schedule[[#This Row],[Duration]]), "", schedule[[#This Row],[Material]]/schedule[[#This Row],[Duration]])</f>
        <v>0</v>
      </c>
      <c r="P10" s="4">
        <f>IF(ISBLANK(schedule[[#This Row],[Duration]]), "", schedule[[#This Row],[Equipment]]/schedule[[#This Row],[Duration]])</f>
        <v>0</v>
      </c>
      <c r="Q10" s="4">
        <f>IF(ISBLANK(schedule[[#This Row],[Duration]]), "", schedule[[#This Row],[Subcontractor]]/schedule[[#This Row],[Duration]])</f>
        <v>1184.2105263157894</v>
      </c>
      <c r="R10" s="3">
        <f>IF(ISBLANK(schedule[[#This Row],[Duration]]), "", schedule[[#This Row],[Other]]/schedule[[#This Row],[Duration]])</f>
        <v>0</v>
      </c>
      <c r="S10" s="4">
        <f>IF(ISBLANK(schedule[[#This Row],[Duration]]), "", schedule[[#This Row],[Revenue]]/schedule[[#This Row],[Duration]])</f>
        <v>1468.421052631579</v>
      </c>
    </row>
    <row r="11" spans="2:19" x14ac:dyDescent="0.45">
      <c r="B11" s="2" t="s">
        <v>16</v>
      </c>
      <c r="C11" t="s">
        <v>23</v>
      </c>
      <c r="D11">
        <f>(schedule[[#This Row],[Finish Date]]-schedule[[#This Row],[Start Date]])+1</f>
        <v>17</v>
      </c>
      <c r="E11" s="1">
        <v>46463</v>
      </c>
      <c r="F11" s="1">
        <v>46479</v>
      </c>
      <c r="J11" s="3">
        <v>37500</v>
      </c>
      <c r="L11" s="3">
        <f>SUM(schedule[[#This Row],[Labor]:[Other]])</f>
        <v>37500</v>
      </c>
      <c r="M11" s="4">
        <v>49500</v>
      </c>
      <c r="N11" s="4">
        <f>IF(ISBLANK(schedule[[#This Row],[Duration]]), "", schedule[[#This Row],[Labor]]/schedule[[#This Row],[Duration]])</f>
        <v>0</v>
      </c>
      <c r="O11" s="4">
        <f>IF(ISBLANK(schedule[[#This Row],[Duration]]), "", schedule[[#This Row],[Material]]/schedule[[#This Row],[Duration]])</f>
        <v>0</v>
      </c>
      <c r="P11" s="4">
        <f>IF(ISBLANK(schedule[[#This Row],[Duration]]), "", schedule[[#This Row],[Equipment]]/schedule[[#This Row],[Duration]])</f>
        <v>0</v>
      </c>
      <c r="Q11" s="4">
        <f>IF(ISBLANK(schedule[[#This Row],[Duration]]), "", schedule[[#This Row],[Subcontractor]]/schedule[[#This Row],[Duration]])</f>
        <v>2205.8823529411766</v>
      </c>
      <c r="R11" s="3">
        <f>IF(ISBLANK(schedule[[#This Row],[Duration]]), "", schedule[[#This Row],[Other]]/schedule[[#This Row],[Duration]])</f>
        <v>0</v>
      </c>
      <c r="S11" s="4">
        <f>IF(ISBLANK(schedule[[#This Row],[Duration]]), "", schedule[[#This Row],[Revenue]]/schedule[[#This Row],[Duration]])</f>
        <v>2911.7647058823532</v>
      </c>
    </row>
    <row r="12" spans="2:19" x14ac:dyDescent="0.45">
      <c r="B12" s="2" t="s">
        <v>17</v>
      </c>
      <c r="C12" t="s">
        <v>24</v>
      </c>
      <c r="D12">
        <f>(schedule[[#This Row],[Finish Date]]-schedule[[#This Row],[Start Date]])+1</f>
        <v>12</v>
      </c>
      <c r="E12" s="1">
        <v>46531</v>
      </c>
      <c r="F12" s="1">
        <v>46542</v>
      </c>
      <c r="J12" s="3">
        <v>24250</v>
      </c>
      <c r="L12" s="3">
        <f>SUM(schedule[[#This Row],[Labor]:[Other]])</f>
        <v>24250</v>
      </c>
      <c r="M12" s="4">
        <v>29100</v>
      </c>
      <c r="N12" s="4">
        <f>IF(ISBLANK(schedule[[#This Row],[Duration]]), "", schedule[[#This Row],[Labor]]/schedule[[#This Row],[Duration]])</f>
        <v>0</v>
      </c>
      <c r="O12" s="4">
        <f>IF(ISBLANK(schedule[[#This Row],[Duration]]), "", schedule[[#This Row],[Material]]/schedule[[#This Row],[Duration]])</f>
        <v>0</v>
      </c>
      <c r="P12" s="4">
        <f>IF(ISBLANK(schedule[[#This Row],[Duration]]), "", schedule[[#This Row],[Equipment]]/schedule[[#This Row],[Duration]])</f>
        <v>0</v>
      </c>
      <c r="Q12" s="4">
        <f>IF(ISBLANK(schedule[[#This Row],[Duration]]), "", schedule[[#This Row],[Subcontractor]]/schedule[[#This Row],[Duration]])</f>
        <v>2020.8333333333333</v>
      </c>
      <c r="R12" s="3">
        <f>IF(ISBLANK(schedule[[#This Row],[Duration]]), "", schedule[[#This Row],[Other]]/schedule[[#This Row],[Duration]])</f>
        <v>0</v>
      </c>
      <c r="S12" s="4">
        <f>IF(ISBLANK(schedule[[#This Row],[Duration]]), "", schedule[[#This Row],[Revenue]]/schedule[[#This Row],[Duration]])</f>
        <v>2425</v>
      </c>
    </row>
    <row r="13" spans="2:19" x14ac:dyDescent="0.45">
      <c r="B13" s="2">
        <v>1.8</v>
      </c>
      <c r="C13" t="s">
        <v>13</v>
      </c>
      <c r="M13" s="4"/>
      <c r="N13" s="4" t="str">
        <f>IF(ISBLANK(schedule[[#This Row],[Duration]]), "", schedule[[#This Row],[Labor]]/schedule[[#This Row],[Duration]])</f>
        <v/>
      </c>
      <c r="O13" s="4" t="str">
        <f>IF(ISBLANK(schedule[[#This Row],[Duration]]), "", schedule[[#This Row],[Material]]/schedule[[#This Row],[Duration]])</f>
        <v/>
      </c>
      <c r="P13" s="4" t="str">
        <f>IF(ISBLANK(schedule[[#This Row],[Duration]]), "", schedule[[#This Row],[Equipment]]/schedule[[#This Row],[Duration]])</f>
        <v/>
      </c>
      <c r="Q13" s="4" t="str">
        <f>IF(ISBLANK(schedule[[#This Row],[Duration]]), "", schedule[[#This Row],[Subcontractor]]/schedule[[#This Row],[Duration]])</f>
        <v/>
      </c>
      <c r="R13" s="3" t="str">
        <f>IF(ISBLANK(schedule[[#This Row],[Duration]]), "", schedule[[#This Row],[Other]]/schedule[[#This Row],[Duration]])</f>
        <v/>
      </c>
      <c r="S13" s="4" t="str">
        <f>IF(ISBLANK(schedule[[#This Row],[Duration]]), "", schedule[[#This Row],[Revenue]]/schedule[[#This Row],[Duration]])</f>
        <v/>
      </c>
    </row>
    <row r="14" spans="2:19" x14ac:dyDescent="0.45">
      <c r="B14" s="2" t="s">
        <v>18</v>
      </c>
      <c r="C14" t="s">
        <v>26</v>
      </c>
      <c r="D14">
        <f>(schedule[[#This Row],[Finish Date]]-schedule[[#This Row],[Start Date]])+1</f>
        <v>19</v>
      </c>
      <c r="E14" s="1">
        <v>46419</v>
      </c>
      <c r="F14" s="1">
        <v>46437</v>
      </c>
      <c r="J14" s="3">
        <v>67500</v>
      </c>
      <c r="L14" s="3">
        <f>SUM(schedule[[#This Row],[Labor]:[Other]])</f>
        <v>67500</v>
      </c>
      <c r="M14" s="4">
        <v>83700</v>
      </c>
      <c r="N14" s="4">
        <f>IF(ISBLANK(schedule[[#This Row],[Duration]]), "", schedule[[#This Row],[Labor]]/schedule[[#This Row],[Duration]])</f>
        <v>0</v>
      </c>
      <c r="O14" s="4">
        <f>IF(ISBLANK(schedule[[#This Row],[Duration]]), "", schedule[[#This Row],[Material]]/schedule[[#This Row],[Duration]])</f>
        <v>0</v>
      </c>
      <c r="P14" s="4">
        <f>IF(ISBLANK(schedule[[#This Row],[Duration]]), "", schedule[[#This Row],[Equipment]]/schedule[[#This Row],[Duration]])</f>
        <v>0</v>
      </c>
      <c r="Q14" s="4">
        <f>IF(ISBLANK(schedule[[#This Row],[Duration]]), "", schedule[[#This Row],[Subcontractor]]/schedule[[#This Row],[Duration]])</f>
        <v>3552.6315789473683</v>
      </c>
      <c r="R14" s="3">
        <f>IF(ISBLANK(schedule[[#This Row],[Duration]]), "", schedule[[#This Row],[Other]]/schedule[[#This Row],[Duration]])</f>
        <v>0</v>
      </c>
      <c r="S14" s="4">
        <f>IF(ISBLANK(schedule[[#This Row],[Duration]]), "", schedule[[#This Row],[Revenue]]/schedule[[#This Row],[Duration]])</f>
        <v>4405.2631578947367</v>
      </c>
    </row>
    <row r="15" spans="2:19" x14ac:dyDescent="0.45">
      <c r="B15" s="2" t="s">
        <v>19</v>
      </c>
      <c r="C15" t="s">
        <v>27</v>
      </c>
      <c r="D15">
        <f>(schedule[[#This Row],[Finish Date]]-schedule[[#This Row],[Start Date]])+1</f>
        <v>38</v>
      </c>
      <c r="E15" s="1">
        <v>46463</v>
      </c>
      <c r="F15" s="1">
        <v>46500</v>
      </c>
      <c r="J15" s="3">
        <v>135000</v>
      </c>
      <c r="L15" s="3">
        <f>SUM(schedule[[#This Row],[Labor]:[Other]])</f>
        <v>135000</v>
      </c>
      <c r="M15" s="4">
        <v>156600</v>
      </c>
      <c r="N15" s="4">
        <f>IF(ISBLANK(schedule[[#This Row],[Duration]]), "", schedule[[#This Row],[Labor]]/schedule[[#This Row],[Duration]])</f>
        <v>0</v>
      </c>
      <c r="O15" s="4">
        <f>IF(ISBLANK(schedule[[#This Row],[Duration]]), "", schedule[[#This Row],[Material]]/schedule[[#This Row],[Duration]])</f>
        <v>0</v>
      </c>
      <c r="P15" s="4">
        <f>IF(ISBLANK(schedule[[#This Row],[Duration]]), "", schedule[[#This Row],[Equipment]]/schedule[[#This Row],[Duration]])</f>
        <v>0</v>
      </c>
      <c r="Q15" s="4">
        <f>IF(ISBLANK(schedule[[#This Row],[Duration]]), "", schedule[[#This Row],[Subcontractor]]/schedule[[#This Row],[Duration]])</f>
        <v>3552.6315789473683</v>
      </c>
      <c r="R15" s="3">
        <f>IF(ISBLANK(schedule[[#This Row],[Duration]]), "", schedule[[#This Row],[Other]]/schedule[[#This Row],[Duration]])</f>
        <v>0</v>
      </c>
      <c r="S15" s="4">
        <f>IF(ISBLANK(schedule[[#This Row],[Duration]]), "", schedule[[#This Row],[Revenue]]/schedule[[#This Row],[Duration]])</f>
        <v>4121.0526315789475</v>
      </c>
    </row>
    <row r="16" spans="2:19" x14ac:dyDescent="0.45">
      <c r="B16" s="2" t="s">
        <v>20</v>
      </c>
      <c r="C16" t="s">
        <v>28</v>
      </c>
      <c r="D16">
        <f>(schedule[[#This Row],[Finish Date]]-schedule[[#This Row],[Start Date]])+1</f>
        <v>12</v>
      </c>
      <c r="E16" s="1">
        <v>46531</v>
      </c>
      <c r="F16" s="1">
        <v>46542</v>
      </c>
      <c r="J16" s="3">
        <v>75000</v>
      </c>
      <c r="L16" s="3">
        <f>SUM(schedule[[#This Row],[Labor]:[Other]])</f>
        <v>75000</v>
      </c>
      <c r="M16" s="4">
        <v>96000</v>
      </c>
      <c r="N16" s="4">
        <f>IF(ISBLANK(schedule[[#This Row],[Duration]]), "", schedule[[#This Row],[Labor]]/schedule[[#This Row],[Duration]])</f>
        <v>0</v>
      </c>
      <c r="O16" s="4">
        <f>IF(ISBLANK(schedule[[#This Row],[Duration]]), "", schedule[[#This Row],[Material]]/schedule[[#This Row],[Duration]])</f>
        <v>0</v>
      </c>
      <c r="P16" s="4">
        <f>IF(ISBLANK(schedule[[#This Row],[Duration]]), "", schedule[[#This Row],[Equipment]]/schedule[[#This Row],[Duration]])</f>
        <v>0</v>
      </c>
      <c r="Q16" s="4">
        <f>IF(ISBLANK(schedule[[#This Row],[Duration]]), "", schedule[[#This Row],[Subcontractor]]/schedule[[#This Row],[Duration]])</f>
        <v>6250</v>
      </c>
      <c r="R16" s="3">
        <f>IF(ISBLANK(schedule[[#This Row],[Duration]]), "", schedule[[#This Row],[Other]]/schedule[[#This Row],[Duration]])</f>
        <v>0</v>
      </c>
      <c r="S16" s="4">
        <f>IF(ISBLANK(schedule[[#This Row],[Duration]]), "", schedule[[#This Row],[Revenue]]/schedule[[#This Row],[Duration]])</f>
        <v>8000</v>
      </c>
    </row>
    <row r="17" spans="2:19" x14ac:dyDescent="0.45">
      <c r="B17" s="2">
        <v>1.9</v>
      </c>
      <c r="C17" t="s">
        <v>14</v>
      </c>
      <c r="M17" s="4"/>
      <c r="N17" s="4" t="str">
        <f>IF(ISBLANK(schedule[[#This Row],[Duration]]), "", schedule[[#This Row],[Labor]]/schedule[[#This Row],[Duration]])</f>
        <v/>
      </c>
      <c r="O17" s="4" t="str">
        <f>IF(ISBLANK(schedule[[#This Row],[Duration]]), "", schedule[[#This Row],[Material]]/schedule[[#This Row],[Duration]])</f>
        <v/>
      </c>
      <c r="P17" s="4" t="str">
        <f>IF(ISBLANK(schedule[[#This Row],[Duration]]), "", schedule[[#This Row],[Equipment]]/schedule[[#This Row],[Duration]])</f>
        <v/>
      </c>
      <c r="Q17" s="4" t="str">
        <f>IF(ISBLANK(schedule[[#This Row],[Duration]]), "", schedule[[#This Row],[Subcontractor]]/schedule[[#This Row],[Duration]])</f>
        <v/>
      </c>
      <c r="R17" s="3" t="str">
        <f>IF(ISBLANK(schedule[[#This Row],[Duration]]), "", schedule[[#This Row],[Other]]/schedule[[#This Row],[Duration]])</f>
        <v/>
      </c>
      <c r="S17" s="4" t="str">
        <f>IF(ISBLANK(schedule[[#This Row],[Duration]]), "", schedule[[#This Row],[Revenue]]/schedule[[#This Row],[Duration]])</f>
        <v/>
      </c>
    </row>
    <row r="18" spans="2:19" x14ac:dyDescent="0.45">
      <c r="B18" s="2" t="s">
        <v>21</v>
      </c>
      <c r="C18" t="s">
        <v>29</v>
      </c>
      <c r="D18">
        <f>(schedule[[#This Row],[Finish Date]]-schedule[[#This Row],[Start Date]])+1</f>
        <v>26</v>
      </c>
      <c r="E18" s="1">
        <v>46482</v>
      </c>
      <c r="F18" s="1">
        <v>46507</v>
      </c>
      <c r="J18" s="3">
        <v>188500</v>
      </c>
      <c r="L18" s="3">
        <f>SUM(schedule[[#This Row],[Labor]:[Other]])</f>
        <v>188500</v>
      </c>
      <c r="M18" s="4">
        <v>218659.99999999997</v>
      </c>
      <c r="N18" s="4">
        <f>IF(ISBLANK(schedule[[#This Row],[Duration]]), "", schedule[[#This Row],[Labor]]/schedule[[#This Row],[Duration]])</f>
        <v>0</v>
      </c>
      <c r="O18" s="4">
        <f>IF(ISBLANK(schedule[[#This Row],[Duration]]), "", schedule[[#This Row],[Material]]/schedule[[#This Row],[Duration]])</f>
        <v>0</v>
      </c>
      <c r="P18" s="4">
        <f>IF(ISBLANK(schedule[[#This Row],[Duration]]), "", schedule[[#This Row],[Equipment]]/schedule[[#This Row],[Duration]])</f>
        <v>0</v>
      </c>
      <c r="Q18" s="4">
        <f>IF(ISBLANK(schedule[[#This Row],[Duration]]), "", schedule[[#This Row],[Subcontractor]]/schedule[[#This Row],[Duration]])</f>
        <v>7250</v>
      </c>
      <c r="R18" s="3">
        <f>IF(ISBLANK(schedule[[#This Row],[Duration]]), "", schedule[[#This Row],[Other]]/schedule[[#This Row],[Duration]])</f>
        <v>0</v>
      </c>
      <c r="S18" s="4">
        <f>IF(ISBLANK(schedule[[#This Row],[Duration]]), "", schedule[[#This Row],[Revenue]]/schedule[[#This Row],[Duration]])</f>
        <v>8409.9999999999982</v>
      </c>
    </row>
    <row r="19" spans="2:19" x14ac:dyDescent="0.45">
      <c r="B19" s="2" t="s">
        <v>22</v>
      </c>
      <c r="C19" t="s">
        <v>30</v>
      </c>
      <c r="D19">
        <f>(schedule[[#This Row],[Finish Date]]-schedule[[#This Row],[Start Date]])+1</f>
        <v>12</v>
      </c>
      <c r="E19" s="1">
        <v>46531</v>
      </c>
      <c r="F19" s="1">
        <v>46542</v>
      </c>
      <c r="J19" s="3">
        <v>42500</v>
      </c>
      <c r="L19" s="3">
        <f>SUM(schedule[[#This Row],[Labor]:[Other]])</f>
        <v>42500</v>
      </c>
      <c r="M19" s="4">
        <v>56525</v>
      </c>
      <c r="N19" s="4">
        <f>IF(ISBLANK(schedule[[#This Row],[Duration]]), "", schedule[[#This Row],[Labor]]/schedule[[#This Row],[Duration]])</f>
        <v>0</v>
      </c>
      <c r="O19" s="4">
        <f>IF(ISBLANK(schedule[[#This Row],[Duration]]), "", schedule[[#This Row],[Material]]/schedule[[#This Row],[Duration]])</f>
        <v>0</v>
      </c>
      <c r="P19" s="4">
        <f>IF(ISBLANK(schedule[[#This Row],[Duration]]), "", schedule[[#This Row],[Equipment]]/schedule[[#This Row],[Duration]])</f>
        <v>0</v>
      </c>
      <c r="Q19" s="4">
        <f>IF(ISBLANK(schedule[[#This Row],[Duration]]), "", schedule[[#This Row],[Subcontractor]]/schedule[[#This Row],[Duration]])</f>
        <v>3541.6666666666665</v>
      </c>
      <c r="R19" s="3">
        <f>IF(ISBLANK(schedule[[#This Row],[Duration]]), "", schedule[[#This Row],[Other]]/schedule[[#This Row],[Duration]])</f>
        <v>0</v>
      </c>
      <c r="S19" s="4">
        <f>IF(ISBLANK(schedule[[#This Row],[Duration]]), "", schedule[[#This Row],[Revenue]]/schedule[[#This Row],[Duration]])</f>
        <v>4710.416666666667</v>
      </c>
    </row>
    <row r="21" spans="2:19" x14ac:dyDescent="0.45">
      <c r="M21" s="3"/>
      <c r="N21" s="3"/>
      <c r="O21" s="3"/>
      <c r="P21" s="3"/>
      <c r="Q21" s="3"/>
    </row>
    <row r="23" spans="2:19" x14ac:dyDescent="0.45">
      <c r="M23" s="5"/>
      <c r="N23" s="5"/>
      <c r="O23" s="5"/>
      <c r="P23" s="5"/>
      <c r="Q23" s="5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9B7-08E3-4F2F-8FAC-BD3267199FCF}">
  <dimension ref="B2:P247"/>
  <sheetViews>
    <sheetView zoomScale="70" zoomScaleNormal="70" workbookViewId="0">
      <selection activeCell="P6" sqref="P6"/>
    </sheetView>
  </sheetViews>
  <sheetFormatPr defaultRowHeight="14.25" x14ac:dyDescent="0.45"/>
  <cols>
    <col min="2" max="2" width="19" bestFit="1" customWidth="1"/>
    <col min="3" max="3" width="12.53125" bestFit="1" customWidth="1"/>
    <col min="4" max="4" width="14.9296875" bestFit="1" customWidth="1"/>
    <col min="5" max="5" width="17" bestFit="1" customWidth="1"/>
    <col min="6" max="6" width="11.33203125" bestFit="1" customWidth="1"/>
    <col min="7" max="7" width="14.06640625" style="3" bestFit="1" customWidth="1"/>
    <col min="8" max="8" width="11.33203125" style="3" bestFit="1" customWidth="1"/>
    <col min="9" max="9" width="12.6640625" style="3" bestFit="1" customWidth="1"/>
    <col min="10" max="10" width="19.796875" style="3" bestFit="1" customWidth="1"/>
    <col min="11" max="11" width="22.265625" style="3" bestFit="1" customWidth="1"/>
    <col min="12" max="12" width="24.265625" style="3" bestFit="1" customWidth="1"/>
    <col min="13" max="13" width="18.265625" style="3" bestFit="1" customWidth="1"/>
    <col min="14" max="14" width="20" style="3" bestFit="1" customWidth="1"/>
    <col min="15" max="15" width="18.73046875" style="3" bestFit="1" customWidth="1"/>
    <col min="16" max="16" width="22.6640625" style="3" bestFit="1" customWidth="1"/>
  </cols>
  <sheetData>
    <row r="2" spans="2:16" x14ac:dyDescent="0.45">
      <c r="B2" t="s">
        <v>57</v>
      </c>
      <c r="D2">
        <v>30</v>
      </c>
      <c r="E2">
        <v>30</v>
      </c>
      <c r="F2">
        <v>60</v>
      </c>
      <c r="G2" s="6">
        <v>30</v>
      </c>
      <c r="I2" s="6">
        <v>60</v>
      </c>
    </row>
    <row r="4" spans="2:16" x14ac:dyDescent="0.45">
      <c r="B4" t="s">
        <v>31</v>
      </c>
      <c r="C4" t="s">
        <v>48</v>
      </c>
      <c r="D4" t="s">
        <v>49</v>
      </c>
      <c r="E4" t="s">
        <v>50</v>
      </c>
      <c r="F4" t="s">
        <v>51</v>
      </c>
      <c r="G4" s="3" t="s">
        <v>46</v>
      </c>
      <c r="H4" s="3" t="s">
        <v>52</v>
      </c>
      <c r="I4" s="3" t="s">
        <v>34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47</v>
      </c>
      <c r="O4" s="3" t="s">
        <v>32</v>
      </c>
      <c r="P4" s="3" t="s">
        <v>33</v>
      </c>
    </row>
    <row r="5" spans="2:16" x14ac:dyDescent="0.45">
      <c r="B5" s="1">
        <v>46388</v>
      </c>
      <c r="C5" s="3">
        <f>SUMIFS(schedule[Labor CPP], schedule[Start Date],"&lt;="&amp;day_cash[[#This Row],[Date]], schedule[Finish Date],"&gt;="&amp;day_cash[[#This Row],[Date]])</f>
        <v>0</v>
      </c>
      <c r="D5" s="3">
        <f>SUMIFS(schedule[Material CPP], schedule[Start Date],"&lt;="&amp;day_cash[[#This Row],[Date]]-$D$2, schedule[Finish Date],"&gt;="&amp;day_cash[[#This Row],[Date]]-$D$2)</f>
        <v>0</v>
      </c>
      <c r="E5" s="3">
        <f>SUMIFS(schedule[Equipment CPP], schedule[Start Date],"&lt;="&amp;day_cash[[#This Row],[Date]]-$E$2, schedule[Finish Date],"&gt;="&amp;day_cash[[#This Row],[Date]]-$E$2)</f>
        <v>0</v>
      </c>
      <c r="F5" s="3">
        <f>SUMIFS(schedule[Sub CPP], schedule[Start Date],"&lt;="&amp;day_cash[[#This Row],[Date]]-$F$2, schedule[Finish Date],"&gt;="&amp;day_cash[[#This Row],[Date]]-$F$2)</f>
        <v>0</v>
      </c>
      <c r="G5" s="3">
        <f>SUMIFS(schedule[Other CPP], schedule[Start Date],"&lt;="&amp;day_cash[[#This Row],[Date]]-$G$2, schedule[Finish Date],"&gt;="&amp;day_cash[[#This Row],[Date]]-$G$2)</f>
        <v>0</v>
      </c>
      <c r="H5" s="3">
        <f>SUM(day_cash[[#This Row],[Labor Cost]:[Other Cost]])</f>
        <v>0</v>
      </c>
      <c r="I5" s="3">
        <f>SUMIFS(schedule[Revenue per Day], schedule[Start Date],"&lt;="&amp;day_cash[[#This Row],[Date]]-$I$2, schedule[Finish Date],"&gt;="&amp;day_cash[[#This Row],[Date]]-$I$2)</f>
        <v>0</v>
      </c>
      <c r="J5" s="3">
        <f>SUM(day_cash[[#Headers],[Labor Cost]]:day_cash[[#This Row],[Labor Cost]])</f>
        <v>0</v>
      </c>
      <c r="K5" s="3">
        <f>SUM(day_cash[[#Headers],[Material Cost]]:day_cash[[#This Row],[Material Cost]])</f>
        <v>0</v>
      </c>
      <c r="L5" s="3">
        <f>SUM(day_cash[[#Headers],[Equipment Cost]]:day_cash[[#This Row],[Equipment Cost]])</f>
        <v>0</v>
      </c>
      <c r="M5" s="3">
        <f>SUM(day_cash[[#Headers],[Sub Cost]]:day_cash[[#This Row],[Sub Cost]])</f>
        <v>0</v>
      </c>
      <c r="N5" s="3">
        <f>SUM(day_cash[[#Headers],[Other Cost]]:day_cash[[#This Row],[Other Cost]])</f>
        <v>0</v>
      </c>
      <c r="O5" s="3">
        <f>SUM(day_cash[[#This Row],[Cumulative Labor]:[Cumulative Other]])</f>
        <v>0</v>
      </c>
      <c r="P5" s="3">
        <f>SUM(day_cash[[#Headers],[Revenue]]:day_cash[[#This Row],[Revenue]])</f>
        <v>0</v>
      </c>
    </row>
    <row r="6" spans="2:16" x14ac:dyDescent="0.45">
      <c r="B6" s="1">
        <v>46389</v>
      </c>
      <c r="C6" s="4">
        <f>SUMIFS(schedule[Labor CPP], schedule[Start Date],"&lt;="&amp;day_cash[[#This Row],[Date]], schedule[Finish Date],"&gt;="&amp;day_cash[[#This Row],[Date]])</f>
        <v>0</v>
      </c>
      <c r="D6" s="4">
        <f>SUMIFS(schedule[Material CPP], schedule[Start Date],"&lt;="&amp;day_cash[[#This Row],[Date]]-$D$2, schedule[Finish Date],"&gt;="&amp;day_cash[[#This Row],[Date]]-$D$2)</f>
        <v>0</v>
      </c>
      <c r="E6" s="4">
        <f>SUMIFS(schedule[Equipment CPP], schedule[Start Date],"&lt;="&amp;day_cash[[#This Row],[Date]]-$E$2, schedule[Finish Date],"&gt;="&amp;day_cash[[#This Row],[Date]]-$E$2)</f>
        <v>0</v>
      </c>
      <c r="F6" s="4">
        <f>SUMIFS(schedule[Sub CPP], schedule[Start Date],"&lt;="&amp;day_cash[[#This Row],[Date]]-$F$2, schedule[Finish Date],"&gt;="&amp;day_cash[[#This Row],[Date]]-$F$2)</f>
        <v>0</v>
      </c>
      <c r="G6" s="3">
        <f>SUMIFS(schedule[Other CPP], schedule[Start Date],"&lt;="&amp;day_cash[[#This Row],[Date]]-$G$2, schedule[Finish Date],"&gt;="&amp;day_cash[[#This Row],[Date]]-$G$2)</f>
        <v>0</v>
      </c>
      <c r="H6" s="3">
        <f>SUM(day_cash[[#This Row],[Labor Cost]:[Other Cost]])</f>
        <v>0</v>
      </c>
      <c r="I6" s="3">
        <f>SUMIFS(schedule[Revenue per Day], schedule[Start Date],"&lt;="&amp;day_cash[[#This Row],[Date]]-$I$2, schedule[Finish Date],"&gt;="&amp;day_cash[[#This Row],[Date]]-$I$2)</f>
        <v>0</v>
      </c>
      <c r="J6" s="3">
        <f>SUM(day_cash[[#Headers],[Labor Cost]]:day_cash[[#This Row],[Labor Cost]])</f>
        <v>0</v>
      </c>
      <c r="K6" s="3">
        <f>SUM(day_cash[[#Headers],[Material Cost]]:day_cash[[#This Row],[Material Cost]])</f>
        <v>0</v>
      </c>
      <c r="L6" s="3">
        <f>SUM(day_cash[[#Headers],[Equipment Cost]]:day_cash[[#This Row],[Equipment Cost]])</f>
        <v>0</v>
      </c>
      <c r="M6" s="3">
        <f>SUM(day_cash[[#Headers],[Sub Cost]]:day_cash[[#This Row],[Sub Cost]])</f>
        <v>0</v>
      </c>
      <c r="N6" s="3">
        <f>SUM(day_cash[[#Headers],[Other Cost]]:day_cash[[#This Row],[Other Cost]])</f>
        <v>0</v>
      </c>
      <c r="O6" s="3">
        <f>SUM(day_cash[[#This Row],[Cumulative Labor]:[Cumulative Other]])</f>
        <v>0</v>
      </c>
      <c r="P6" s="3">
        <f>SUM(day_cash[[#Headers],[Revenue]]:day_cash[[#This Row],[Revenue]])</f>
        <v>0</v>
      </c>
    </row>
    <row r="7" spans="2:16" x14ac:dyDescent="0.45">
      <c r="B7" s="1">
        <v>46390</v>
      </c>
      <c r="C7" s="4">
        <f>SUMIFS(schedule[Labor CPP], schedule[Start Date],"&lt;="&amp;day_cash[[#This Row],[Date]], schedule[Finish Date],"&gt;="&amp;day_cash[[#This Row],[Date]])</f>
        <v>0</v>
      </c>
      <c r="D7" s="4">
        <f>SUMIFS(schedule[Material CPP], schedule[Start Date],"&lt;="&amp;day_cash[[#This Row],[Date]]-$D$2, schedule[Finish Date],"&gt;="&amp;day_cash[[#This Row],[Date]]-$D$2)</f>
        <v>0</v>
      </c>
      <c r="E7" s="4">
        <f>SUMIFS(schedule[Equipment CPP], schedule[Start Date],"&lt;="&amp;day_cash[[#This Row],[Date]]-$E$2, schedule[Finish Date],"&gt;="&amp;day_cash[[#This Row],[Date]]-$E$2)</f>
        <v>0</v>
      </c>
      <c r="F7" s="4">
        <f>SUMIFS(schedule[Sub CPP], schedule[Start Date],"&lt;="&amp;day_cash[[#This Row],[Date]]-$F$2, schedule[Finish Date],"&gt;="&amp;day_cash[[#This Row],[Date]]-$F$2)</f>
        <v>0</v>
      </c>
      <c r="G7" s="3">
        <f>SUMIFS(schedule[Other CPP], schedule[Start Date],"&lt;="&amp;day_cash[[#This Row],[Date]]-$G$2, schedule[Finish Date],"&gt;="&amp;day_cash[[#This Row],[Date]]-$G$2)</f>
        <v>0</v>
      </c>
      <c r="H7" s="3">
        <f>SUM(day_cash[[#This Row],[Labor Cost]:[Other Cost]])</f>
        <v>0</v>
      </c>
      <c r="I7" s="3">
        <f>SUMIFS(schedule[Revenue per Day], schedule[Start Date],"&lt;="&amp;day_cash[[#This Row],[Date]]-$I$2, schedule[Finish Date],"&gt;="&amp;day_cash[[#This Row],[Date]]-$I$2)</f>
        <v>0</v>
      </c>
      <c r="J7" s="3">
        <f>SUM(day_cash[[#Headers],[Labor Cost]]:day_cash[[#This Row],[Labor Cost]])</f>
        <v>0</v>
      </c>
      <c r="K7" s="3">
        <f>SUM(day_cash[[#Headers],[Material Cost]]:day_cash[[#This Row],[Material Cost]])</f>
        <v>0</v>
      </c>
      <c r="L7" s="3">
        <f>SUM(day_cash[[#Headers],[Equipment Cost]]:day_cash[[#This Row],[Equipment Cost]])</f>
        <v>0</v>
      </c>
      <c r="M7" s="3">
        <f>SUM(day_cash[[#Headers],[Sub Cost]]:day_cash[[#This Row],[Sub Cost]])</f>
        <v>0</v>
      </c>
      <c r="N7" s="3">
        <f>SUM(day_cash[[#Headers],[Other Cost]]:day_cash[[#This Row],[Other Cost]])</f>
        <v>0</v>
      </c>
      <c r="O7" s="3">
        <f>SUM(day_cash[[#This Row],[Cumulative Labor]:[Cumulative Other]])</f>
        <v>0</v>
      </c>
      <c r="P7" s="3">
        <f>SUM(day_cash[[#Headers],[Revenue]]:day_cash[[#This Row],[Revenue]])</f>
        <v>0</v>
      </c>
    </row>
    <row r="8" spans="2:16" x14ac:dyDescent="0.45">
      <c r="B8" s="1">
        <v>46391</v>
      </c>
      <c r="C8" s="4">
        <f>SUMIFS(schedule[Labor CPP], schedule[Start Date],"&lt;="&amp;day_cash[[#This Row],[Date]], schedule[Finish Date],"&gt;="&amp;day_cash[[#This Row],[Date]])</f>
        <v>943.39622641509436</v>
      </c>
      <c r="D8" s="4">
        <f>SUMIFS(schedule[Material CPP], schedule[Start Date],"&lt;="&amp;day_cash[[#This Row],[Date]]-$D$2, schedule[Finish Date],"&gt;="&amp;day_cash[[#This Row],[Date]]-$D$2)</f>
        <v>0</v>
      </c>
      <c r="E8" s="4">
        <f>SUMIFS(schedule[Equipment CPP], schedule[Start Date],"&lt;="&amp;day_cash[[#This Row],[Date]]-$E$2, schedule[Finish Date],"&gt;="&amp;day_cash[[#This Row],[Date]]-$E$2)</f>
        <v>0</v>
      </c>
      <c r="F8" s="4">
        <f>SUMIFS(schedule[Sub CPP], schedule[Start Date],"&lt;="&amp;day_cash[[#This Row],[Date]]-$F$2, schedule[Finish Date],"&gt;="&amp;day_cash[[#This Row],[Date]]-$F$2)</f>
        <v>0</v>
      </c>
      <c r="G8" s="3">
        <f>SUMIFS(schedule[Other CPP], schedule[Start Date],"&lt;="&amp;day_cash[[#This Row],[Date]]-$G$2, schedule[Finish Date],"&gt;="&amp;day_cash[[#This Row],[Date]]-$G$2)</f>
        <v>0</v>
      </c>
      <c r="H8" s="3">
        <f>SUM(day_cash[[#This Row],[Labor Cost]:[Other Cost]])</f>
        <v>943.39622641509436</v>
      </c>
      <c r="I8" s="3">
        <f>SUMIFS(schedule[Revenue per Day], schedule[Start Date],"&lt;="&amp;day_cash[[#This Row],[Date]]-$I$2, schedule[Finish Date],"&gt;="&amp;day_cash[[#This Row],[Date]]-$I$2)</f>
        <v>0</v>
      </c>
      <c r="J8" s="3">
        <f>SUM(day_cash[[#Headers],[Labor Cost]]:day_cash[[#This Row],[Labor Cost]])</f>
        <v>943.39622641509436</v>
      </c>
      <c r="K8" s="3">
        <f>SUM(day_cash[[#Headers],[Material Cost]]:day_cash[[#This Row],[Material Cost]])</f>
        <v>0</v>
      </c>
      <c r="L8" s="3">
        <f>SUM(day_cash[[#Headers],[Equipment Cost]]:day_cash[[#This Row],[Equipment Cost]])</f>
        <v>0</v>
      </c>
      <c r="M8" s="3">
        <f>SUM(day_cash[[#Headers],[Sub Cost]]:day_cash[[#This Row],[Sub Cost]])</f>
        <v>0</v>
      </c>
      <c r="N8" s="3">
        <f>SUM(day_cash[[#Headers],[Other Cost]]:day_cash[[#This Row],[Other Cost]])</f>
        <v>0</v>
      </c>
      <c r="O8" s="3">
        <f>SUM(day_cash[[#This Row],[Cumulative Labor]:[Cumulative Other]])</f>
        <v>943.39622641509436</v>
      </c>
      <c r="P8" s="3">
        <f>SUM(day_cash[[#Headers],[Revenue]]:day_cash[[#This Row],[Revenue]])</f>
        <v>0</v>
      </c>
    </row>
    <row r="9" spans="2:16" x14ac:dyDescent="0.45">
      <c r="B9" s="1">
        <v>46392</v>
      </c>
      <c r="C9" s="4">
        <f>SUMIFS(schedule[Labor CPP], schedule[Start Date],"&lt;="&amp;day_cash[[#This Row],[Date]], schedule[Finish Date],"&gt;="&amp;day_cash[[#This Row],[Date]])</f>
        <v>943.39622641509436</v>
      </c>
      <c r="D9" s="4">
        <f>SUMIFS(schedule[Material CPP], schedule[Start Date],"&lt;="&amp;day_cash[[#This Row],[Date]]-$D$2, schedule[Finish Date],"&gt;="&amp;day_cash[[#This Row],[Date]]-$D$2)</f>
        <v>0</v>
      </c>
      <c r="E9" s="4">
        <f>SUMIFS(schedule[Equipment CPP], schedule[Start Date],"&lt;="&amp;day_cash[[#This Row],[Date]]-$E$2, schedule[Finish Date],"&gt;="&amp;day_cash[[#This Row],[Date]]-$E$2)</f>
        <v>0</v>
      </c>
      <c r="F9" s="4">
        <f>SUMIFS(schedule[Sub CPP], schedule[Start Date],"&lt;="&amp;day_cash[[#This Row],[Date]]-$F$2, schedule[Finish Date],"&gt;="&amp;day_cash[[#This Row],[Date]]-$F$2)</f>
        <v>0</v>
      </c>
      <c r="G9" s="3">
        <f>SUMIFS(schedule[Other CPP], schedule[Start Date],"&lt;="&amp;day_cash[[#This Row],[Date]]-$G$2, schedule[Finish Date],"&gt;="&amp;day_cash[[#This Row],[Date]]-$G$2)</f>
        <v>0</v>
      </c>
      <c r="H9" s="3">
        <f>SUM(day_cash[[#This Row],[Labor Cost]:[Other Cost]])</f>
        <v>943.39622641509436</v>
      </c>
      <c r="I9" s="3">
        <f>SUMIFS(schedule[Revenue per Day], schedule[Start Date],"&lt;="&amp;day_cash[[#This Row],[Date]]-$I$2, schedule[Finish Date],"&gt;="&amp;day_cash[[#This Row],[Date]]-$I$2)</f>
        <v>0</v>
      </c>
      <c r="J9" s="3">
        <f>SUM(day_cash[[#Headers],[Labor Cost]]:day_cash[[#This Row],[Labor Cost]])</f>
        <v>1886.7924528301887</v>
      </c>
      <c r="K9" s="3">
        <f>SUM(day_cash[[#Headers],[Material Cost]]:day_cash[[#This Row],[Material Cost]])</f>
        <v>0</v>
      </c>
      <c r="L9" s="3">
        <f>SUM(day_cash[[#Headers],[Equipment Cost]]:day_cash[[#This Row],[Equipment Cost]])</f>
        <v>0</v>
      </c>
      <c r="M9" s="3">
        <f>SUM(day_cash[[#Headers],[Sub Cost]]:day_cash[[#This Row],[Sub Cost]])</f>
        <v>0</v>
      </c>
      <c r="N9" s="3">
        <f>SUM(day_cash[[#Headers],[Other Cost]]:day_cash[[#This Row],[Other Cost]])</f>
        <v>0</v>
      </c>
      <c r="O9" s="3">
        <f>SUM(day_cash[[#This Row],[Cumulative Labor]:[Cumulative Other]])</f>
        <v>1886.7924528301887</v>
      </c>
      <c r="P9" s="3">
        <f>SUM(day_cash[[#Headers],[Revenue]]:day_cash[[#This Row],[Revenue]])</f>
        <v>0</v>
      </c>
    </row>
    <row r="10" spans="2:16" x14ac:dyDescent="0.45">
      <c r="B10" s="1">
        <v>46393</v>
      </c>
      <c r="C10" s="4">
        <f>SUMIFS(schedule[Labor CPP], schedule[Start Date],"&lt;="&amp;day_cash[[#This Row],[Date]], schedule[Finish Date],"&gt;="&amp;day_cash[[#This Row],[Date]])</f>
        <v>943.39622641509436</v>
      </c>
      <c r="D10" s="4">
        <f>SUMIFS(schedule[Material CPP], schedule[Start Date],"&lt;="&amp;day_cash[[#This Row],[Date]]-$D$2, schedule[Finish Date],"&gt;="&amp;day_cash[[#This Row],[Date]]-$D$2)</f>
        <v>0</v>
      </c>
      <c r="E10" s="4">
        <f>SUMIFS(schedule[Equipment CPP], schedule[Start Date],"&lt;="&amp;day_cash[[#This Row],[Date]]-$E$2, schedule[Finish Date],"&gt;="&amp;day_cash[[#This Row],[Date]]-$E$2)</f>
        <v>0</v>
      </c>
      <c r="F10" s="4">
        <f>SUMIFS(schedule[Sub CPP], schedule[Start Date],"&lt;="&amp;day_cash[[#This Row],[Date]]-$F$2, schedule[Finish Date],"&gt;="&amp;day_cash[[#This Row],[Date]]-$F$2)</f>
        <v>0</v>
      </c>
      <c r="G10" s="3">
        <f>SUMIFS(schedule[Other CPP], schedule[Start Date],"&lt;="&amp;day_cash[[#This Row],[Date]]-$G$2, schedule[Finish Date],"&gt;="&amp;day_cash[[#This Row],[Date]]-$G$2)</f>
        <v>0</v>
      </c>
      <c r="H10" s="3">
        <f>SUM(day_cash[[#This Row],[Labor Cost]:[Other Cost]])</f>
        <v>943.39622641509436</v>
      </c>
      <c r="I10" s="3">
        <f>SUMIFS(schedule[Revenue per Day], schedule[Start Date],"&lt;="&amp;day_cash[[#This Row],[Date]]-$I$2, schedule[Finish Date],"&gt;="&amp;day_cash[[#This Row],[Date]]-$I$2)</f>
        <v>0</v>
      </c>
      <c r="J10" s="3">
        <f>SUM(day_cash[[#Headers],[Labor Cost]]:day_cash[[#This Row],[Labor Cost]])</f>
        <v>2830.1886792452833</v>
      </c>
      <c r="K10" s="3">
        <f>SUM(day_cash[[#Headers],[Material Cost]]:day_cash[[#This Row],[Material Cost]])</f>
        <v>0</v>
      </c>
      <c r="L10" s="3">
        <f>SUM(day_cash[[#Headers],[Equipment Cost]]:day_cash[[#This Row],[Equipment Cost]])</f>
        <v>0</v>
      </c>
      <c r="M10" s="3">
        <f>SUM(day_cash[[#Headers],[Sub Cost]]:day_cash[[#This Row],[Sub Cost]])</f>
        <v>0</v>
      </c>
      <c r="N10" s="3">
        <f>SUM(day_cash[[#Headers],[Other Cost]]:day_cash[[#This Row],[Other Cost]])</f>
        <v>0</v>
      </c>
      <c r="O10" s="3">
        <f>SUM(day_cash[[#This Row],[Cumulative Labor]:[Cumulative Other]])</f>
        <v>2830.1886792452833</v>
      </c>
      <c r="P10" s="3">
        <f>SUM(day_cash[[#Headers],[Revenue]]:day_cash[[#This Row],[Revenue]])</f>
        <v>0</v>
      </c>
    </row>
    <row r="11" spans="2:16" x14ac:dyDescent="0.45">
      <c r="B11" s="1">
        <v>46394</v>
      </c>
      <c r="C11" s="4">
        <f>SUMIFS(schedule[Labor CPP], schedule[Start Date],"&lt;="&amp;day_cash[[#This Row],[Date]], schedule[Finish Date],"&gt;="&amp;day_cash[[#This Row],[Date]])</f>
        <v>943.39622641509436</v>
      </c>
      <c r="D11" s="4">
        <f>SUMIFS(schedule[Material CPP], schedule[Start Date],"&lt;="&amp;day_cash[[#This Row],[Date]]-$D$2, schedule[Finish Date],"&gt;="&amp;day_cash[[#This Row],[Date]]-$D$2)</f>
        <v>0</v>
      </c>
      <c r="E11" s="4">
        <f>SUMIFS(schedule[Equipment CPP], schedule[Start Date],"&lt;="&amp;day_cash[[#This Row],[Date]]-$E$2, schedule[Finish Date],"&gt;="&amp;day_cash[[#This Row],[Date]]-$E$2)</f>
        <v>0</v>
      </c>
      <c r="F11" s="4">
        <f>SUMIFS(schedule[Sub CPP], schedule[Start Date],"&lt;="&amp;day_cash[[#This Row],[Date]]-$F$2, schedule[Finish Date],"&gt;="&amp;day_cash[[#This Row],[Date]]-$F$2)</f>
        <v>0</v>
      </c>
      <c r="G11" s="3">
        <f>SUMIFS(schedule[Other CPP], schedule[Start Date],"&lt;="&amp;day_cash[[#This Row],[Date]]-$G$2, schedule[Finish Date],"&gt;="&amp;day_cash[[#This Row],[Date]]-$G$2)</f>
        <v>0</v>
      </c>
      <c r="H11" s="3">
        <f>SUM(day_cash[[#This Row],[Labor Cost]:[Other Cost]])</f>
        <v>943.39622641509436</v>
      </c>
      <c r="I11" s="3">
        <f>SUMIFS(schedule[Revenue per Day], schedule[Start Date],"&lt;="&amp;day_cash[[#This Row],[Date]]-$I$2, schedule[Finish Date],"&gt;="&amp;day_cash[[#This Row],[Date]]-$I$2)</f>
        <v>0</v>
      </c>
      <c r="J11" s="3">
        <f>SUM(day_cash[[#Headers],[Labor Cost]]:day_cash[[#This Row],[Labor Cost]])</f>
        <v>3773.5849056603774</v>
      </c>
      <c r="K11" s="3">
        <f>SUM(day_cash[[#Headers],[Material Cost]]:day_cash[[#This Row],[Material Cost]])</f>
        <v>0</v>
      </c>
      <c r="L11" s="3">
        <f>SUM(day_cash[[#Headers],[Equipment Cost]]:day_cash[[#This Row],[Equipment Cost]])</f>
        <v>0</v>
      </c>
      <c r="M11" s="3">
        <f>SUM(day_cash[[#Headers],[Sub Cost]]:day_cash[[#This Row],[Sub Cost]])</f>
        <v>0</v>
      </c>
      <c r="N11" s="3">
        <f>SUM(day_cash[[#Headers],[Other Cost]]:day_cash[[#This Row],[Other Cost]])</f>
        <v>0</v>
      </c>
      <c r="O11" s="3">
        <f>SUM(day_cash[[#This Row],[Cumulative Labor]:[Cumulative Other]])</f>
        <v>3773.5849056603774</v>
      </c>
      <c r="P11" s="3">
        <f>SUM(day_cash[[#Headers],[Revenue]]:day_cash[[#This Row],[Revenue]])</f>
        <v>0</v>
      </c>
    </row>
    <row r="12" spans="2:16" x14ac:dyDescent="0.45">
      <c r="B12" s="1">
        <v>46395</v>
      </c>
      <c r="C12" s="4">
        <f>SUMIFS(schedule[Labor CPP], schedule[Start Date],"&lt;="&amp;day_cash[[#This Row],[Date]], schedule[Finish Date],"&gt;="&amp;day_cash[[#This Row],[Date]])</f>
        <v>943.39622641509436</v>
      </c>
      <c r="D12" s="4">
        <f>SUMIFS(schedule[Material CPP], schedule[Start Date],"&lt;="&amp;day_cash[[#This Row],[Date]]-$D$2, schedule[Finish Date],"&gt;="&amp;day_cash[[#This Row],[Date]]-$D$2)</f>
        <v>0</v>
      </c>
      <c r="E12" s="4">
        <f>SUMIFS(schedule[Equipment CPP], schedule[Start Date],"&lt;="&amp;day_cash[[#This Row],[Date]]-$E$2, schedule[Finish Date],"&gt;="&amp;day_cash[[#This Row],[Date]]-$E$2)</f>
        <v>0</v>
      </c>
      <c r="F12" s="4">
        <f>SUMIFS(schedule[Sub CPP], schedule[Start Date],"&lt;="&amp;day_cash[[#This Row],[Date]]-$F$2, schedule[Finish Date],"&gt;="&amp;day_cash[[#This Row],[Date]]-$F$2)</f>
        <v>0</v>
      </c>
      <c r="G12" s="3">
        <f>SUMIFS(schedule[Other CPP], schedule[Start Date],"&lt;="&amp;day_cash[[#This Row],[Date]]-$G$2, schedule[Finish Date],"&gt;="&amp;day_cash[[#This Row],[Date]]-$G$2)</f>
        <v>0</v>
      </c>
      <c r="H12" s="3">
        <f>SUM(day_cash[[#This Row],[Labor Cost]:[Other Cost]])</f>
        <v>943.39622641509436</v>
      </c>
      <c r="I12" s="3">
        <f>SUMIFS(schedule[Revenue per Day], schedule[Start Date],"&lt;="&amp;day_cash[[#This Row],[Date]]-$I$2, schedule[Finish Date],"&gt;="&amp;day_cash[[#This Row],[Date]]-$I$2)</f>
        <v>0</v>
      </c>
      <c r="J12" s="3">
        <f>SUM(day_cash[[#Headers],[Labor Cost]]:day_cash[[#This Row],[Labor Cost]])</f>
        <v>4716.9811320754716</v>
      </c>
      <c r="K12" s="3">
        <f>SUM(day_cash[[#Headers],[Material Cost]]:day_cash[[#This Row],[Material Cost]])</f>
        <v>0</v>
      </c>
      <c r="L12" s="3">
        <f>SUM(day_cash[[#Headers],[Equipment Cost]]:day_cash[[#This Row],[Equipment Cost]])</f>
        <v>0</v>
      </c>
      <c r="M12" s="3">
        <f>SUM(day_cash[[#Headers],[Sub Cost]]:day_cash[[#This Row],[Sub Cost]])</f>
        <v>0</v>
      </c>
      <c r="N12" s="3">
        <f>SUM(day_cash[[#Headers],[Other Cost]]:day_cash[[#This Row],[Other Cost]])</f>
        <v>0</v>
      </c>
      <c r="O12" s="3">
        <f>SUM(day_cash[[#This Row],[Cumulative Labor]:[Cumulative Other]])</f>
        <v>4716.9811320754716</v>
      </c>
      <c r="P12" s="3">
        <f>SUM(day_cash[[#Headers],[Revenue]]:day_cash[[#This Row],[Revenue]])</f>
        <v>0</v>
      </c>
    </row>
    <row r="13" spans="2:16" x14ac:dyDescent="0.45">
      <c r="B13" s="1">
        <v>46396</v>
      </c>
      <c r="C13" s="4">
        <f>SUMIFS(schedule[Labor CPP], schedule[Start Date],"&lt;="&amp;day_cash[[#This Row],[Date]], schedule[Finish Date],"&gt;="&amp;day_cash[[#This Row],[Date]])</f>
        <v>943.39622641509436</v>
      </c>
      <c r="D13" s="4">
        <f>SUMIFS(schedule[Material CPP], schedule[Start Date],"&lt;="&amp;day_cash[[#This Row],[Date]]-$D$2, schedule[Finish Date],"&gt;="&amp;day_cash[[#This Row],[Date]]-$D$2)</f>
        <v>0</v>
      </c>
      <c r="E13" s="4">
        <f>SUMIFS(schedule[Equipment CPP], schedule[Start Date],"&lt;="&amp;day_cash[[#This Row],[Date]]-$E$2, schedule[Finish Date],"&gt;="&amp;day_cash[[#This Row],[Date]]-$E$2)</f>
        <v>0</v>
      </c>
      <c r="F13" s="4">
        <f>SUMIFS(schedule[Sub CPP], schedule[Start Date],"&lt;="&amp;day_cash[[#This Row],[Date]]-$F$2, schedule[Finish Date],"&gt;="&amp;day_cash[[#This Row],[Date]]-$F$2)</f>
        <v>0</v>
      </c>
      <c r="G13" s="3">
        <f>SUMIFS(schedule[Other CPP], schedule[Start Date],"&lt;="&amp;day_cash[[#This Row],[Date]]-$G$2, schedule[Finish Date],"&gt;="&amp;day_cash[[#This Row],[Date]]-$G$2)</f>
        <v>0</v>
      </c>
      <c r="H13" s="3">
        <f>SUM(day_cash[[#This Row],[Labor Cost]:[Other Cost]])</f>
        <v>943.39622641509436</v>
      </c>
      <c r="I13" s="3">
        <f>SUMIFS(schedule[Revenue per Day], schedule[Start Date],"&lt;="&amp;day_cash[[#This Row],[Date]]-$I$2, schedule[Finish Date],"&gt;="&amp;day_cash[[#This Row],[Date]]-$I$2)</f>
        <v>0</v>
      </c>
      <c r="J13" s="3">
        <f>SUM(day_cash[[#Headers],[Labor Cost]]:day_cash[[#This Row],[Labor Cost]])</f>
        <v>5660.3773584905657</v>
      </c>
      <c r="K13" s="3">
        <f>SUM(day_cash[[#Headers],[Material Cost]]:day_cash[[#This Row],[Material Cost]])</f>
        <v>0</v>
      </c>
      <c r="L13" s="3">
        <f>SUM(day_cash[[#Headers],[Equipment Cost]]:day_cash[[#This Row],[Equipment Cost]])</f>
        <v>0</v>
      </c>
      <c r="M13" s="3">
        <f>SUM(day_cash[[#Headers],[Sub Cost]]:day_cash[[#This Row],[Sub Cost]])</f>
        <v>0</v>
      </c>
      <c r="N13" s="3">
        <f>SUM(day_cash[[#Headers],[Other Cost]]:day_cash[[#This Row],[Other Cost]])</f>
        <v>0</v>
      </c>
      <c r="O13" s="3">
        <f>SUM(day_cash[[#This Row],[Cumulative Labor]:[Cumulative Other]])</f>
        <v>5660.3773584905657</v>
      </c>
      <c r="P13" s="3">
        <f>SUM(day_cash[[#Headers],[Revenue]]:day_cash[[#This Row],[Revenue]])</f>
        <v>0</v>
      </c>
    </row>
    <row r="14" spans="2:16" x14ac:dyDescent="0.45">
      <c r="B14" s="1">
        <v>46397</v>
      </c>
      <c r="C14" s="4">
        <f>SUMIFS(schedule[Labor CPP], schedule[Start Date],"&lt;="&amp;day_cash[[#This Row],[Date]], schedule[Finish Date],"&gt;="&amp;day_cash[[#This Row],[Date]])</f>
        <v>943.39622641509436</v>
      </c>
      <c r="D14" s="4">
        <f>SUMIFS(schedule[Material CPP], schedule[Start Date],"&lt;="&amp;day_cash[[#This Row],[Date]]-$D$2, schedule[Finish Date],"&gt;="&amp;day_cash[[#This Row],[Date]]-$D$2)</f>
        <v>0</v>
      </c>
      <c r="E14" s="4">
        <f>SUMIFS(schedule[Equipment CPP], schedule[Start Date],"&lt;="&amp;day_cash[[#This Row],[Date]]-$E$2, schedule[Finish Date],"&gt;="&amp;day_cash[[#This Row],[Date]]-$E$2)</f>
        <v>0</v>
      </c>
      <c r="F14" s="4">
        <f>SUMIFS(schedule[Sub CPP], schedule[Start Date],"&lt;="&amp;day_cash[[#This Row],[Date]]-$F$2, schedule[Finish Date],"&gt;="&amp;day_cash[[#This Row],[Date]]-$F$2)</f>
        <v>0</v>
      </c>
      <c r="G14" s="3">
        <f>SUMIFS(schedule[Other CPP], schedule[Start Date],"&lt;="&amp;day_cash[[#This Row],[Date]]-$G$2, schedule[Finish Date],"&gt;="&amp;day_cash[[#This Row],[Date]]-$G$2)</f>
        <v>0</v>
      </c>
      <c r="H14" s="3">
        <f>SUM(day_cash[[#This Row],[Labor Cost]:[Other Cost]])</f>
        <v>943.39622641509436</v>
      </c>
      <c r="I14" s="3">
        <f>SUMIFS(schedule[Revenue per Day], schedule[Start Date],"&lt;="&amp;day_cash[[#This Row],[Date]]-$I$2, schedule[Finish Date],"&gt;="&amp;day_cash[[#This Row],[Date]]-$I$2)</f>
        <v>0</v>
      </c>
      <c r="J14" s="3">
        <f>SUM(day_cash[[#Headers],[Labor Cost]]:day_cash[[#This Row],[Labor Cost]])</f>
        <v>6603.7735849056598</v>
      </c>
      <c r="K14" s="3">
        <f>SUM(day_cash[[#Headers],[Material Cost]]:day_cash[[#This Row],[Material Cost]])</f>
        <v>0</v>
      </c>
      <c r="L14" s="3">
        <f>SUM(day_cash[[#Headers],[Equipment Cost]]:day_cash[[#This Row],[Equipment Cost]])</f>
        <v>0</v>
      </c>
      <c r="M14" s="3">
        <f>SUM(day_cash[[#Headers],[Sub Cost]]:day_cash[[#This Row],[Sub Cost]])</f>
        <v>0</v>
      </c>
      <c r="N14" s="3">
        <f>SUM(day_cash[[#Headers],[Other Cost]]:day_cash[[#This Row],[Other Cost]])</f>
        <v>0</v>
      </c>
      <c r="O14" s="3">
        <f>SUM(day_cash[[#This Row],[Cumulative Labor]:[Cumulative Other]])</f>
        <v>6603.7735849056598</v>
      </c>
      <c r="P14" s="3">
        <f>SUM(day_cash[[#Headers],[Revenue]]:day_cash[[#This Row],[Revenue]])</f>
        <v>0</v>
      </c>
    </row>
    <row r="15" spans="2:16" x14ac:dyDescent="0.45">
      <c r="B15" s="1">
        <v>46398</v>
      </c>
      <c r="C15" s="4">
        <f>SUMIFS(schedule[Labor CPP], schedule[Start Date],"&lt;="&amp;day_cash[[#This Row],[Date]], schedule[Finish Date],"&gt;="&amp;day_cash[[#This Row],[Date]])</f>
        <v>943.39622641509436</v>
      </c>
      <c r="D15" s="4">
        <f>SUMIFS(schedule[Material CPP], schedule[Start Date],"&lt;="&amp;day_cash[[#This Row],[Date]]-$D$2, schedule[Finish Date],"&gt;="&amp;day_cash[[#This Row],[Date]]-$D$2)</f>
        <v>0</v>
      </c>
      <c r="E15" s="4">
        <f>SUMIFS(schedule[Equipment CPP], schedule[Start Date],"&lt;="&amp;day_cash[[#This Row],[Date]]-$E$2, schedule[Finish Date],"&gt;="&amp;day_cash[[#This Row],[Date]]-$E$2)</f>
        <v>0</v>
      </c>
      <c r="F15" s="4">
        <f>SUMIFS(schedule[Sub CPP], schedule[Start Date],"&lt;="&amp;day_cash[[#This Row],[Date]]-$F$2, schedule[Finish Date],"&gt;="&amp;day_cash[[#This Row],[Date]]-$F$2)</f>
        <v>0</v>
      </c>
      <c r="G15" s="3">
        <f>SUMIFS(schedule[Other CPP], schedule[Start Date],"&lt;="&amp;day_cash[[#This Row],[Date]]-$G$2, schedule[Finish Date],"&gt;="&amp;day_cash[[#This Row],[Date]]-$G$2)</f>
        <v>0</v>
      </c>
      <c r="H15" s="3">
        <f>SUM(day_cash[[#This Row],[Labor Cost]:[Other Cost]])</f>
        <v>943.39622641509436</v>
      </c>
      <c r="I15" s="3">
        <f>SUMIFS(schedule[Revenue per Day], schedule[Start Date],"&lt;="&amp;day_cash[[#This Row],[Date]]-$I$2, schedule[Finish Date],"&gt;="&amp;day_cash[[#This Row],[Date]]-$I$2)</f>
        <v>0</v>
      </c>
      <c r="J15" s="3">
        <f>SUM(day_cash[[#Headers],[Labor Cost]]:day_cash[[#This Row],[Labor Cost]])</f>
        <v>7547.169811320754</v>
      </c>
      <c r="K15" s="3">
        <f>SUM(day_cash[[#Headers],[Material Cost]]:day_cash[[#This Row],[Material Cost]])</f>
        <v>0</v>
      </c>
      <c r="L15" s="3">
        <f>SUM(day_cash[[#Headers],[Equipment Cost]]:day_cash[[#This Row],[Equipment Cost]])</f>
        <v>0</v>
      </c>
      <c r="M15" s="3">
        <f>SUM(day_cash[[#Headers],[Sub Cost]]:day_cash[[#This Row],[Sub Cost]])</f>
        <v>0</v>
      </c>
      <c r="N15" s="3">
        <f>SUM(day_cash[[#Headers],[Other Cost]]:day_cash[[#This Row],[Other Cost]])</f>
        <v>0</v>
      </c>
      <c r="O15" s="3">
        <f>SUM(day_cash[[#This Row],[Cumulative Labor]:[Cumulative Other]])</f>
        <v>7547.169811320754</v>
      </c>
      <c r="P15" s="3">
        <f>SUM(day_cash[[#Headers],[Revenue]]:day_cash[[#This Row],[Revenue]])</f>
        <v>0</v>
      </c>
    </row>
    <row r="16" spans="2:16" x14ac:dyDescent="0.45">
      <c r="B16" s="1">
        <v>46399</v>
      </c>
      <c r="C16" s="4">
        <f>SUMIFS(schedule[Labor CPP], schedule[Start Date],"&lt;="&amp;day_cash[[#This Row],[Date]], schedule[Finish Date],"&gt;="&amp;day_cash[[#This Row],[Date]])</f>
        <v>1867.3092698933551</v>
      </c>
      <c r="D16" s="4">
        <f>SUMIFS(schedule[Material CPP], schedule[Start Date],"&lt;="&amp;day_cash[[#This Row],[Date]]-$D$2, schedule[Finish Date],"&gt;="&amp;day_cash[[#This Row],[Date]]-$D$2)</f>
        <v>0</v>
      </c>
      <c r="E16" s="4">
        <f>SUMIFS(schedule[Equipment CPP], schedule[Start Date],"&lt;="&amp;day_cash[[#This Row],[Date]]-$E$2, schedule[Finish Date],"&gt;="&amp;day_cash[[#This Row],[Date]]-$E$2)</f>
        <v>0</v>
      </c>
      <c r="F16" s="4">
        <f>SUMIFS(schedule[Sub CPP], schedule[Start Date],"&lt;="&amp;day_cash[[#This Row],[Date]]-$F$2, schedule[Finish Date],"&gt;="&amp;day_cash[[#This Row],[Date]]-$F$2)</f>
        <v>0</v>
      </c>
      <c r="G16" s="3">
        <f>SUMIFS(schedule[Other CPP], schedule[Start Date],"&lt;="&amp;day_cash[[#This Row],[Date]]-$G$2, schedule[Finish Date],"&gt;="&amp;day_cash[[#This Row],[Date]]-$G$2)</f>
        <v>0</v>
      </c>
      <c r="H16" s="3">
        <f>SUM(day_cash[[#This Row],[Labor Cost]:[Other Cost]])</f>
        <v>1867.3092698933551</v>
      </c>
      <c r="I16" s="3">
        <f>SUMIFS(schedule[Revenue per Day], schedule[Start Date],"&lt;="&amp;day_cash[[#This Row],[Date]]-$I$2, schedule[Finish Date],"&gt;="&amp;day_cash[[#This Row],[Date]]-$I$2)</f>
        <v>0</v>
      </c>
      <c r="J16" s="3">
        <f>SUM(day_cash[[#Headers],[Labor Cost]]:day_cash[[#This Row],[Labor Cost]])</f>
        <v>9414.4790812141091</v>
      </c>
      <c r="K16" s="3">
        <f>SUM(day_cash[[#Headers],[Material Cost]]:day_cash[[#This Row],[Material Cost]])</f>
        <v>0</v>
      </c>
      <c r="L16" s="3">
        <f>SUM(day_cash[[#Headers],[Equipment Cost]]:day_cash[[#This Row],[Equipment Cost]])</f>
        <v>0</v>
      </c>
      <c r="M16" s="3">
        <f>SUM(day_cash[[#Headers],[Sub Cost]]:day_cash[[#This Row],[Sub Cost]])</f>
        <v>0</v>
      </c>
      <c r="N16" s="3">
        <f>SUM(day_cash[[#Headers],[Other Cost]]:day_cash[[#This Row],[Other Cost]])</f>
        <v>0</v>
      </c>
      <c r="O16" s="3">
        <f>SUM(day_cash[[#This Row],[Cumulative Labor]:[Cumulative Other]])</f>
        <v>9414.4790812141091</v>
      </c>
      <c r="P16" s="3">
        <f>SUM(day_cash[[#Headers],[Revenue]]:day_cash[[#This Row],[Revenue]])</f>
        <v>0</v>
      </c>
    </row>
    <row r="17" spans="2:16" x14ac:dyDescent="0.45">
      <c r="B17" s="1">
        <v>46400</v>
      </c>
      <c r="C17" s="4">
        <f>SUMIFS(schedule[Labor CPP], schedule[Start Date],"&lt;="&amp;day_cash[[#This Row],[Date]], schedule[Finish Date],"&gt;="&amp;day_cash[[#This Row],[Date]])</f>
        <v>1867.3092698933551</v>
      </c>
      <c r="D17" s="4">
        <f>SUMIFS(schedule[Material CPP], schedule[Start Date],"&lt;="&amp;day_cash[[#This Row],[Date]]-$D$2, schedule[Finish Date],"&gt;="&amp;day_cash[[#This Row],[Date]]-$D$2)</f>
        <v>0</v>
      </c>
      <c r="E17" s="4">
        <f>SUMIFS(schedule[Equipment CPP], schedule[Start Date],"&lt;="&amp;day_cash[[#This Row],[Date]]-$E$2, schedule[Finish Date],"&gt;="&amp;day_cash[[#This Row],[Date]]-$E$2)</f>
        <v>0</v>
      </c>
      <c r="F17" s="4">
        <f>SUMIFS(schedule[Sub CPP], schedule[Start Date],"&lt;="&amp;day_cash[[#This Row],[Date]]-$F$2, schedule[Finish Date],"&gt;="&amp;day_cash[[#This Row],[Date]]-$F$2)</f>
        <v>0</v>
      </c>
      <c r="G17" s="3">
        <f>SUMIFS(schedule[Other CPP], schedule[Start Date],"&lt;="&amp;day_cash[[#This Row],[Date]]-$G$2, schedule[Finish Date],"&gt;="&amp;day_cash[[#This Row],[Date]]-$G$2)</f>
        <v>0</v>
      </c>
      <c r="H17" s="3">
        <f>SUM(day_cash[[#This Row],[Labor Cost]:[Other Cost]])</f>
        <v>1867.3092698933551</v>
      </c>
      <c r="I17" s="3">
        <f>SUMIFS(schedule[Revenue per Day], schedule[Start Date],"&lt;="&amp;day_cash[[#This Row],[Date]]-$I$2, schedule[Finish Date],"&gt;="&amp;day_cash[[#This Row],[Date]]-$I$2)</f>
        <v>0</v>
      </c>
      <c r="J17" s="3">
        <f>SUM(day_cash[[#Headers],[Labor Cost]]:day_cash[[#This Row],[Labor Cost]])</f>
        <v>11281.788351107465</v>
      </c>
      <c r="K17" s="3">
        <f>SUM(day_cash[[#Headers],[Material Cost]]:day_cash[[#This Row],[Material Cost]])</f>
        <v>0</v>
      </c>
      <c r="L17" s="3">
        <f>SUM(day_cash[[#Headers],[Equipment Cost]]:day_cash[[#This Row],[Equipment Cost]])</f>
        <v>0</v>
      </c>
      <c r="M17" s="3">
        <f>SUM(day_cash[[#Headers],[Sub Cost]]:day_cash[[#This Row],[Sub Cost]])</f>
        <v>0</v>
      </c>
      <c r="N17" s="3">
        <f>SUM(day_cash[[#Headers],[Other Cost]]:day_cash[[#This Row],[Other Cost]])</f>
        <v>0</v>
      </c>
      <c r="O17" s="3">
        <f>SUM(day_cash[[#This Row],[Cumulative Labor]:[Cumulative Other]])</f>
        <v>11281.788351107465</v>
      </c>
      <c r="P17" s="3">
        <f>SUM(day_cash[[#Headers],[Revenue]]:day_cash[[#This Row],[Revenue]])</f>
        <v>0</v>
      </c>
    </row>
    <row r="18" spans="2:16" x14ac:dyDescent="0.45">
      <c r="B18" s="1">
        <v>46401</v>
      </c>
      <c r="C18" s="4">
        <f>SUMIFS(schedule[Labor CPP], schedule[Start Date],"&lt;="&amp;day_cash[[#This Row],[Date]], schedule[Finish Date],"&gt;="&amp;day_cash[[#This Row],[Date]])</f>
        <v>1867.3092698933551</v>
      </c>
      <c r="D18" s="4">
        <f>SUMIFS(schedule[Material CPP], schedule[Start Date],"&lt;="&amp;day_cash[[#This Row],[Date]]-$D$2, schedule[Finish Date],"&gt;="&amp;day_cash[[#This Row],[Date]]-$D$2)</f>
        <v>0</v>
      </c>
      <c r="E18" s="4">
        <f>SUMIFS(schedule[Equipment CPP], schedule[Start Date],"&lt;="&amp;day_cash[[#This Row],[Date]]-$E$2, schedule[Finish Date],"&gt;="&amp;day_cash[[#This Row],[Date]]-$E$2)</f>
        <v>0</v>
      </c>
      <c r="F18" s="4">
        <f>SUMIFS(schedule[Sub CPP], schedule[Start Date],"&lt;="&amp;day_cash[[#This Row],[Date]]-$F$2, schedule[Finish Date],"&gt;="&amp;day_cash[[#This Row],[Date]]-$F$2)</f>
        <v>0</v>
      </c>
      <c r="G18" s="3">
        <f>SUMIFS(schedule[Other CPP], schedule[Start Date],"&lt;="&amp;day_cash[[#This Row],[Date]]-$G$2, schedule[Finish Date],"&gt;="&amp;day_cash[[#This Row],[Date]]-$G$2)</f>
        <v>0</v>
      </c>
      <c r="H18" s="3">
        <f>SUM(day_cash[[#This Row],[Labor Cost]:[Other Cost]])</f>
        <v>1867.3092698933551</v>
      </c>
      <c r="I18" s="3">
        <f>SUMIFS(schedule[Revenue per Day], schedule[Start Date],"&lt;="&amp;day_cash[[#This Row],[Date]]-$I$2, schedule[Finish Date],"&gt;="&amp;day_cash[[#This Row],[Date]]-$I$2)</f>
        <v>0</v>
      </c>
      <c r="J18" s="3">
        <f>SUM(day_cash[[#Headers],[Labor Cost]]:day_cash[[#This Row],[Labor Cost]])</f>
        <v>13149.097621000819</v>
      </c>
      <c r="K18" s="3">
        <f>SUM(day_cash[[#Headers],[Material Cost]]:day_cash[[#This Row],[Material Cost]])</f>
        <v>0</v>
      </c>
      <c r="L18" s="3">
        <f>SUM(day_cash[[#Headers],[Equipment Cost]]:day_cash[[#This Row],[Equipment Cost]])</f>
        <v>0</v>
      </c>
      <c r="M18" s="3">
        <f>SUM(day_cash[[#Headers],[Sub Cost]]:day_cash[[#This Row],[Sub Cost]])</f>
        <v>0</v>
      </c>
      <c r="N18" s="3">
        <f>SUM(day_cash[[#Headers],[Other Cost]]:day_cash[[#This Row],[Other Cost]])</f>
        <v>0</v>
      </c>
      <c r="O18" s="3">
        <f>SUM(day_cash[[#This Row],[Cumulative Labor]:[Cumulative Other]])</f>
        <v>13149.097621000819</v>
      </c>
      <c r="P18" s="3">
        <f>SUM(day_cash[[#Headers],[Revenue]]:day_cash[[#This Row],[Revenue]])</f>
        <v>0</v>
      </c>
    </row>
    <row r="19" spans="2:16" x14ac:dyDescent="0.45">
      <c r="B19" s="1">
        <v>46402</v>
      </c>
      <c r="C19" s="4">
        <f>SUMIFS(schedule[Labor CPP], schedule[Start Date],"&lt;="&amp;day_cash[[#This Row],[Date]], schedule[Finish Date],"&gt;="&amp;day_cash[[#This Row],[Date]])</f>
        <v>1867.3092698933551</v>
      </c>
      <c r="D19" s="4">
        <f>SUMIFS(schedule[Material CPP], schedule[Start Date],"&lt;="&amp;day_cash[[#This Row],[Date]]-$D$2, schedule[Finish Date],"&gt;="&amp;day_cash[[#This Row],[Date]]-$D$2)</f>
        <v>0</v>
      </c>
      <c r="E19" s="4">
        <f>SUMIFS(schedule[Equipment CPP], schedule[Start Date],"&lt;="&amp;day_cash[[#This Row],[Date]]-$E$2, schedule[Finish Date],"&gt;="&amp;day_cash[[#This Row],[Date]]-$E$2)</f>
        <v>0</v>
      </c>
      <c r="F19" s="4">
        <f>SUMIFS(schedule[Sub CPP], schedule[Start Date],"&lt;="&amp;day_cash[[#This Row],[Date]]-$F$2, schedule[Finish Date],"&gt;="&amp;day_cash[[#This Row],[Date]]-$F$2)</f>
        <v>0</v>
      </c>
      <c r="G19" s="3">
        <f>SUMIFS(schedule[Other CPP], schedule[Start Date],"&lt;="&amp;day_cash[[#This Row],[Date]]-$G$2, schedule[Finish Date],"&gt;="&amp;day_cash[[#This Row],[Date]]-$G$2)</f>
        <v>0</v>
      </c>
      <c r="H19" s="3">
        <f>SUM(day_cash[[#This Row],[Labor Cost]:[Other Cost]])</f>
        <v>1867.3092698933551</v>
      </c>
      <c r="I19" s="3">
        <f>SUMIFS(schedule[Revenue per Day], schedule[Start Date],"&lt;="&amp;day_cash[[#This Row],[Date]]-$I$2, schedule[Finish Date],"&gt;="&amp;day_cash[[#This Row],[Date]]-$I$2)</f>
        <v>0</v>
      </c>
      <c r="J19" s="3">
        <f>SUM(day_cash[[#Headers],[Labor Cost]]:day_cash[[#This Row],[Labor Cost]])</f>
        <v>15016.406890894174</v>
      </c>
      <c r="K19" s="3">
        <f>SUM(day_cash[[#Headers],[Material Cost]]:day_cash[[#This Row],[Material Cost]])</f>
        <v>0</v>
      </c>
      <c r="L19" s="3">
        <f>SUM(day_cash[[#Headers],[Equipment Cost]]:day_cash[[#This Row],[Equipment Cost]])</f>
        <v>0</v>
      </c>
      <c r="M19" s="3">
        <f>SUM(day_cash[[#Headers],[Sub Cost]]:day_cash[[#This Row],[Sub Cost]])</f>
        <v>0</v>
      </c>
      <c r="N19" s="3">
        <f>SUM(day_cash[[#Headers],[Other Cost]]:day_cash[[#This Row],[Other Cost]])</f>
        <v>0</v>
      </c>
      <c r="O19" s="3">
        <f>SUM(day_cash[[#This Row],[Cumulative Labor]:[Cumulative Other]])</f>
        <v>15016.406890894174</v>
      </c>
      <c r="P19" s="3">
        <f>SUM(day_cash[[#Headers],[Revenue]]:day_cash[[#This Row],[Revenue]])</f>
        <v>0</v>
      </c>
    </row>
    <row r="20" spans="2:16" x14ac:dyDescent="0.45">
      <c r="B20" s="1">
        <v>46403</v>
      </c>
      <c r="C20" s="4">
        <f>SUMIFS(schedule[Labor CPP], schedule[Start Date],"&lt;="&amp;day_cash[[#This Row],[Date]], schedule[Finish Date],"&gt;="&amp;day_cash[[#This Row],[Date]])</f>
        <v>1867.3092698933551</v>
      </c>
      <c r="D20" s="4">
        <f>SUMIFS(schedule[Material CPP], schedule[Start Date],"&lt;="&amp;day_cash[[#This Row],[Date]]-$D$2, schedule[Finish Date],"&gt;="&amp;day_cash[[#This Row],[Date]]-$D$2)</f>
        <v>0</v>
      </c>
      <c r="E20" s="4">
        <f>SUMIFS(schedule[Equipment CPP], schedule[Start Date],"&lt;="&amp;day_cash[[#This Row],[Date]]-$E$2, schedule[Finish Date],"&gt;="&amp;day_cash[[#This Row],[Date]]-$E$2)</f>
        <v>0</v>
      </c>
      <c r="F20" s="4">
        <f>SUMIFS(schedule[Sub CPP], schedule[Start Date],"&lt;="&amp;day_cash[[#This Row],[Date]]-$F$2, schedule[Finish Date],"&gt;="&amp;day_cash[[#This Row],[Date]]-$F$2)</f>
        <v>0</v>
      </c>
      <c r="G20" s="3">
        <f>SUMIFS(schedule[Other CPP], schedule[Start Date],"&lt;="&amp;day_cash[[#This Row],[Date]]-$G$2, schedule[Finish Date],"&gt;="&amp;day_cash[[#This Row],[Date]]-$G$2)</f>
        <v>0</v>
      </c>
      <c r="H20" s="3">
        <f>SUM(day_cash[[#This Row],[Labor Cost]:[Other Cost]])</f>
        <v>1867.3092698933551</v>
      </c>
      <c r="I20" s="3">
        <f>SUMIFS(schedule[Revenue per Day], schedule[Start Date],"&lt;="&amp;day_cash[[#This Row],[Date]]-$I$2, schedule[Finish Date],"&gt;="&amp;day_cash[[#This Row],[Date]]-$I$2)</f>
        <v>0</v>
      </c>
      <c r="J20" s="3">
        <f>SUM(day_cash[[#Headers],[Labor Cost]]:day_cash[[#This Row],[Labor Cost]])</f>
        <v>16883.716160787528</v>
      </c>
      <c r="K20" s="3">
        <f>SUM(day_cash[[#Headers],[Material Cost]]:day_cash[[#This Row],[Material Cost]])</f>
        <v>0</v>
      </c>
      <c r="L20" s="3">
        <f>SUM(day_cash[[#Headers],[Equipment Cost]]:day_cash[[#This Row],[Equipment Cost]])</f>
        <v>0</v>
      </c>
      <c r="M20" s="3">
        <f>SUM(day_cash[[#Headers],[Sub Cost]]:day_cash[[#This Row],[Sub Cost]])</f>
        <v>0</v>
      </c>
      <c r="N20" s="3">
        <f>SUM(day_cash[[#Headers],[Other Cost]]:day_cash[[#This Row],[Other Cost]])</f>
        <v>0</v>
      </c>
      <c r="O20" s="3">
        <f>SUM(day_cash[[#This Row],[Cumulative Labor]:[Cumulative Other]])</f>
        <v>16883.716160787528</v>
      </c>
      <c r="P20" s="3">
        <f>SUM(day_cash[[#Headers],[Revenue]]:day_cash[[#This Row],[Revenue]])</f>
        <v>0</v>
      </c>
    </row>
    <row r="21" spans="2:16" x14ac:dyDescent="0.45">
      <c r="B21" s="1">
        <v>46404</v>
      </c>
      <c r="C21" s="4">
        <f>SUMIFS(schedule[Labor CPP], schedule[Start Date],"&lt;="&amp;day_cash[[#This Row],[Date]], schedule[Finish Date],"&gt;="&amp;day_cash[[#This Row],[Date]])</f>
        <v>1867.3092698933551</v>
      </c>
      <c r="D21" s="4">
        <f>SUMIFS(schedule[Material CPP], schedule[Start Date],"&lt;="&amp;day_cash[[#This Row],[Date]]-$D$2, schedule[Finish Date],"&gt;="&amp;day_cash[[#This Row],[Date]]-$D$2)</f>
        <v>0</v>
      </c>
      <c r="E21" s="4">
        <f>SUMIFS(schedule[Equipment CPP], schedule[Start Date],"&lt;="&amp;day_cash[[#This Row],[Date]]-$E$2, schedule[Finish Date],"&gt;="&amp;day_cash[[#This Row],[Date]]-$E$2)</f>
        <v>0</v>
      </c>
      <c r="F21" s="4">
        <f>SUMIFS(schedule[Sub CPP], schedule[Start Date],"&lt;="&amp;day_cash[[#This Row],[Date]]-$F$2, schedule[Finish Date],"&gt;="&amp;day_cash[[#This Row],[Date]]-$F$2)</f>
        <v>0</v>
      </c>
      <c r="G21" s="3">
        <f>SUMIFS(schedule[Other CPP], schedule[Start Date],"&lt;="&amp;day_cash[[#This Row],[Date]]-$G$2, schedule[Finish Date],"&gt;="&amp;day_cash[[#This Row],[Date]]-$G$2)</f>
        <v>0</v>
      </c>
      <c r="H21" s="3">
        <f>SUM(day_cash[[#This Row],[Labor Cost]:[Other Cost]])</f>
        <v>1867.3092698933551</v>
      </c>
      <c r="I21" s="3">
        <f>SUMIFS(schedule[Revenue per Day], schedule[Start Date],"&lt;="&amp;day_cash[[#This Row],[Date]]-$I$2, schedule[Finish Date],"&gt;="&amp;day_cash[[#This Row],[Date]]-$I$2)</f>
        <v>0</v>
      </c>
      <c r="J21" s="3">
        <f>SUM(day_cash[[#Headers],[Labor Cost]]:day_cash[[#This Row],[Labor Cost]])</f>
        <v>18751.025430680882</v>
      </c>
      <c r="K21" s="3">
        <f>SUM(day_cash[[#Headers],[Material Cost]]:day_cash[[#This Row],[Material Cost]])</f>
        <v>0</v>
      </c>
      <c r="L21" s="3">
        <f>SUM(day_cash[[#Headers],[Equipment Cost]]:day_cash[[#This Row],[Equipment Cost]])</f>
        <v>0</v>
      </c>
      <c r="M21" s="3">
        <f>SUM(day_cash[[#Headers],[Sub Cost]]:day_cash[[#This Row],[Sub Cost]])</f>
        <v>0</v>
      </c>
      <c r="N21" s="3">
        <f>SUM(day_cash[[#Headers],[Other Cost]]:day_cash[[#This Row],[Other Cost]])</f>
        <v>0</v>
      </c>
      <c r="O21" s="3">
        <f>SUM(day_cash[[#This Row],[Cumulative Labor]:[Cumulative Other]])</f>
        <v>18751.025430680882</v>
      </c>
      <c r="P21" s="3">
        <f>SUM(day_cash[[#Headers],[Revenue]]:day_cash[[#This Row],[Revenue]])</f>
        <v>0</v>
      </c>
    </row>
    <row r="22" spans="2:16" x14ac:dyDescent="0.45">
      <c r="B22" s="1">
        <v>46405</v>
      </c>
      <c r="C22" s="4">
        <f>SUMIFS(schedule[Labor CPP], schedule[Start Date],"&lt;="&amp;day_cash[[#This Row],[Date]], schedule[Finish Date],"&gt;="&amp;day_cash[[#This Row],[Date]])</f>
        <v>1867.3092698933551</v>
      </c>
      <c r="D22" s="4">
        <f>SUMIFS(schedule[Material CPP], schedule[Start Date],"&lt;="&amp;day_cash[[#This Row],[Date]]-$D$2, schedule[Finish Date],"&gt;="&amp;day_cash[[#This Row],[Date]]-$D$2)</f>
        <v>0</v>
      </c>
      <c r="E22" s="4">
        <f>SUMIFS(schedule[Equipment CPP], schedule[Start Date],"&lt;="&amp;day_cash[[#This Row],[Date]]-$E$2, schedule[Finish Date],"&gt;="&amp;day_cash[[#This Row],[Date]]-$E$2)</f>
        <v>0</v>
      </c>
      <c r="F22" s="4">
        <f>SUMIFS(schedule[Sub CPP], schedule[Start Date],"&lt;="&amp;day_cash[[#This Row],[Date]]-$F$2, schedule[Finish Date],"&gt;="&amp;day_cash[[#This Row],[Date]]-$F$2)</f>
        <v>0</v>
      </c>
      <c r="G22" s="3">
        <f>SUMIFS(schedule[Other CPP], schedule[Start Date],"&lt;="&amp;day_cash[[#This Row],[Date]]-$G$2, schedule[Finish Date],"&gt;="&amp;day_cash[[#This Row],[Date]]-$G$2)</f>
        <v>0</v>
      </c>
      <c r="H22" s="3">
        <f>SUM(day_cash[[#This Row],[Labor Cost]:[Other Cost]])</f>
        <v>1867.3092698933551</v>
      </c>
      <c r="I22" s="3">
        <f>SUMIFS(schedule[Revenue per Day], schedule[Start Date],"&lt;="&amp;day_cash[[#This Row],[Date]]-$I$2, schedule[Finish Date],"&gt;="&amp;day_cash[[#This Row],[Date]]-$I$2)</f>
        <v>0</v>
      </c>
      <c r="J22" s="3">
        <f>SUM(day_cash[[#Headers],[Labor Cost]]:day_cash[[#This Row],[Labor Cost]])</f>
        <v>20618.334700574236</v>
      </c>
      <c r="K22" s="3">
        <f>SUM(day_cash[[#Headers],[Material Cost]]:day_cash[[#This Row],[Material Cost]])</f>
        <v>0</v>
      </c>
      <c r="L22" s="3">
        <f>SUM(day_cash[[#Headers],[Equipment Cost]]:day_cash[[#This Row],[Equipment Cost]])</f>
        <v>0</v>
      </c>
      <c r="M22" s="3">
        <f>SUM(day_cash[[#Headers],[Sub Cost]]:day_cash[[#This Row],[Sub Cost]])</f>
        <v>0</v>
      </c>
      <c r="N22" s="3">
        <f>SUM(day_cash[[#Headers],[Other Cost]]:day_cash[[#This Row],[Other Cost]])</f>
        <v>0</v>
      </c>
      <c r="O22" s="3">
        <f>SUM(day_cash[[#This Row],[Cumulative Labor]:[Cumulative Other]])</f>
        <v>20618.334700574236</v>
      </c>
      <c r="P22" s="3">
        <f>SUM(day_cash[[#Headers],[Revenue]]:day_cash[[#This Row],[Revenue]])</f>
        <v>0</v>
      </c>
    </row>
    <row r="23" spans="2:16" x14ac:dyDescent="0.45">
      <c r="B23" s="1">
        <v>46406</v>
      </c>
      <c r="C23" s="4">
        <f>SUMIFS(schedule[Labor CPP], schedule[Start Date],"&lt;="&amp;day_cash[[#This Row],[Date]], schedule[Finish Date],"&gt;="&amp;day_cash[[#This Row],[Date]])</f>
        <v>1867.3092698933551</v>
      </c>
      <c r="D23" s="4">
        <f>SUMIFS(schedule[Material CPP], schedule[Start Date],"&lt;="&amp;day_cash[[#This Row],[Date]]-$D$2, schedule[Finish Date],"&gt;="&amp;day_cash[[#This Row],[Date]]-$D$2)</f>
        <v>0</v>
      </c>
      <c r="E23" s="4">
        <f>SUMIFS(schedule[Equipment CPP], schedule[Start Date],"&lt;="&amp;day_cash[[#This Row],[Date]]-$E$2, schedule[Finish Date],"&gt;="&amp;day_cash[[#This Row],[Date]]-$E$2)</f>
        <v>0</v>
      </c>
      <c r="F23" s="4">
        <f>SUMIFS(schedule[Sub CPP], schedule[Start Date],"&lt;="&amp;day_cash[[#This Row],[Date]]-$F$2, schedule[Finish Date],"&gt;="&amp;day_cash[[#This Row],[Date]]-$F$2)</f>
        <v>0</v>
      </c>
      <c r="G23" s="3">
        <f>SUMIFS(schedule[Other CPP], schedule[Start Date],"&lt;="&amp;day_cash[[#This Row],[Date]]-$G$2, schedule[Finish Date],"&gt;="&amp;day_cash[[#This Row],[Date]]-$G$2)</f>
        <v>0</v>
      </c>
      <c r="H23" s="3">
        <f>SUM(day_cash[[#This Row],[Labor Cost]:[Other Cost]])</f>
        <v>1867.3092698933551</v>
      </c>
      <c r="I23" s="3">
        <f>SUMIFS(schedule[Revenue per Day], schedule[Start Date],"&lt;="&amp;day_cash[[#This Row],[Date]]-$I$2, schedule[Finish Date],"&gt;="&amp;day_cash[[#This Row],[Date]]-$I$2)</f>
        <v>0</v>
      </c>
      <c r="J23" s="3">
        <f>SUM(day_cash[[#Headers],[Labor Cost]]:day_cash[[#This Row],[Labor Cost]])</f>
        <v>22485.64397046759</v>
      </c>
      <c r="K23" s="3">
        <f>SUM(day_cash[[#Headers],[Material Cost]]:day_cash[[#This Row],[Material Cost]])</f>
        <v>0</v>
      </c>
      <c r="L23" s="3">
        <f>SUM(day_cash[[#Headers],[Equipment Cost]]:day_cash[[#This Row],[Equipment Cost]])</f>
        <v>0</v>
      </c>
      <c r="M23" s="3">
        <f>SUM(day_cash[[#Headers],[Sub Cost]]:day_cash[[#This Row],[Sub Cost]])</f>
        <v>0</v>
      </c>
      <c r="N23" s="3">
        <f>SUM(day_cash[[#Headers],[Other Cost]]:day_cash[[#This Row],[Other Cost]])</f>
        <v>0</v>
      </c>
      <c r="O23" s="3">
        <f>SUM(day_cash[[#This Row],[Cumulative Labor]:[Cumulative Other]])</f>
        <v>22485.64397046759</v>
      </c>
      <c r="P23" s="3">
        <f>SUM(day_cash[[#Headers],[Revenue]]:day_cash[[#This Row],[Revenue]])</f>
        <v>0</v>
      </c>
    </row>
    <row r="24" spans="2:16" x14ac:dyDescent="0.45">
      <c r="B24" s="1">
        <v>46407</v>
      </c>
      <c r="C24" s="4">
        <f>SUMIFS(schedule[Labor CPP], schedule[Start Date],"&lt;="&amp;day_cash[[#This Row],[Date]], schedule[Finish Date],"&gt;="&amp;day_cash[[#This Row],[Date]])</f>
        <v>1867.3092698933551</v>
      </c>
      <c r="D24" s="4">
        <f>SUMIFS(schedule[Material CPP], schedule[Start Date],"&lt;="&amp;day_cash[[#This Row],[Date]]-$D$2, schedule[Finish Date],"&gt;="&amp;day_cash[[#This Row],[Date]]-$D$2)</f>
        <v>0</v>
      </c>
      <c r="E24" s="4">
        <f>SUMIFS(schedule[Equipment CPP], schedule[Start Date],"&lt;="&amp;day_cash[[#This Row],[Date]]-$E$2, schedule[Finish Date],"&gt;="&amp;day_cash[[#This Row],[Date]]-$E$2)</f>
        <v>0</v>
      </c>
      <c r="F24" s="4">
        <f>SUMIFS(schedule[Sub CPP], schedule[Start Date],"&lt;="&amp;day_cash[[#This Row],[Date]]-$F$2, schedule[Finish Date],"&gt;="&amp;day_cash[[#This Row],[Date]]-$F$2)</f>
        <v>0</v>
      </c>
      <c r="G24" s="3">
        <f>SUMIFS(schedule[Other CPP], schedule[Start Date],"&lt;="&amp;day_cash[[#This Row],[Date]]-$G$2, schedule[Finish Date],"&gt;="&amp;day_cash[[#This Row],[Date]]-$G$2)</f>
        <v>0</v>
      </c>
      <c r="H24" s="3">
        <f>SUM(day_cash[[#This Row],[Labor Cost]:[Other Cost]])</f>
        <v>1867.3092698933551</v>
      </c>
      <c r="I24" s="3">
        <f>SUMIFS(schedule[Revenue per Day], schedule[Start Date],"&lt;="&amp;day_cash[[#This Row],[Date]]-$I$2, schedule[Finish Date],"&gt;="&amp;day_cash[[#This Row],[Date]]-$I$2)</f>
        <v>0</v>
      </c>
      <c r="J24" s="3">
        <f>SUM(day_cash[[#Headers],[Labor Cost]]:day_cash[[#This Row],[Labor Cost]])</f>
        <v>24352.953240360945</v>
      </c>
      <c r="K24" s="3">
        <f>SUM(day_cash[[#Headers],[Material Cost]]:day_cash[[#This Row],[Material Cost]])</f>
        <v>0</v>
      </c>
      <c r="L24" s="3">
        <f>SUM(day_cash[[#Headers],[Equipment Cost]]:day_cash[[#This Row],[Equipment Cost]])</f>
        <v>0</v>
      </c>
      <c r="M24" s="3">
        <f>SUM(day_cash[[#Headers],[Sub Cost]]:day_cash[[#This Row],[Sub Cost]])</f>
        <v>0</v>
      </c>
      <c r="N24" s="3">
        <f>SUM(day_cash[[#Headers],[Other Cost]]:day_cash[[#This Row],[Other Cost]])</f>
        <v>0</v>
      </c>
      <c r="O24" s="3">
        <f>SUM(day_cash[[#This Row],[Cumulative Labor]:[Cumulative Other]])</f>
        <v>24352.953240360945</v>
      </c>
      <c r="P24" s="3">
        <f>SUM(day_cash[[#Headers],[Revenue]]:day_cash[[#This Row],[Revenue]])</f>
        <v>0</v>
      </c>
    </row>
    <row r="25" spans="2:16" x14ac:dyDescent="0.45">
      <c r="B25" s="1">
        <v>46408</v>
      </c>
      <c r="C25" s="4">
        <f>SUMIFS(schedule[Labor CPP], schedule[Start Date],"&lt;="&amp;day_cash[[#This Row],[Date]], schedule[Finish Date],"&gt;="&amp;day_cash[[#This Row],[Date]])</f>
        <v>1867.3092698933551</v>
      </c>
      <c r="D25" s="4">
        <f>SUMIFS(schedule[Material CPP], schedule[Start Date],"&lt;="&amp;day_cash[[#This Row],[Date]]-$D$2, schedule[Finish Date],"&gt;="&amp;day_cash[[#This Row],[Date]]-$D$2)</f>
        <v>0</v>
      </c>
      <c r="E25" s="4">
        <f>SUMIFS(schedule[Equipment CPP], schedule[Start Date],"&lt;="&amp;day_cash[[#This Row],[Date]]-$E$2, schedule[Finish Date],"&gt;="&amp;day_cash[[#This Row],[Date]]-$E$2)</f>
        <v>0</v>
      </c>
      <c r="F25" s="4">
        <f>SUMIFS(schedule[Sub CPP], schedule[Start Date],"&lt;="&amp;day_cash[[#This Row],[Date]]-$F$2, schedule[Finish Date],"&gt;="&amp;day_cash[[#This Row],[Date]]-$F$2)</f>
        <v>0</v>
      </c>
      <c r="G25" s="3">
        <f>SUMIFS(schedule[Other CPP], schedule[Start Date],"&lt;="&amp;day_cash[[#This Row],[Date]]-$G$2, schedule[Finish Date],"&gt;="&amp;day_cash[[#This Row],[Date]]-$G$2)</f>
        <v>0</v>
      </c>
      <c r="H25" s="3">
        <f>SUM(day_cash[[#This Row],[Labor Cost]:[Other Cost]])</f>
        <v>1867.3092698933551</v>
      </c>
      <c r="I25" s="3">
        <f>SUMIFS(schedule[Revenue per Day], schedule[Start Date],"&lt;="&amp;day_cash[[#This Row],[Date]]-$I$2, schedule[Finish Date],"&gt;="&amp;day_cash[[#This Row],[Date]]-$I$2)</f>
        <v>0</v>
      </c>
      <c r="J25" s="3">
        <f>SUM(day_cash[[#Headers],[Labor Cost]]:day_cash[[#This Row],[Labor Cost]])</f>
        <v>26220.262510254299</v>
      </c>
      <c r="K25" s="3">
        <f>SUM(day_cash[[#Headers],[Material Cost]]:day_cash[[#This Row],[Material Cost]])</f>
        <v>0</v>
      </c>
      <c r="L25" s="3">
        <f>SUM(day_cash[[#Headers],[Equipment Cost]]:day_cash[[#This Row],[Equipment Cost]])</f>
        <v>0</v>
      </c>
      <c r="M25" s="3">
        <f>SUM(day_cash[[#Headers],[Sub Cost]]:day_cash[[#This Row],[Sub Cost]])</f>
        <v>0</v>
      </c>
      <c r="N25" s="3">
        <f>SUM(day_cash[[#Headers],[Other Cost]]:day_cash[[#This Row],[Other Cost]])</f>
        <v>0</v>
      </c>
      <c r="O25" s="3">
        <f>SUM(day_cash[[#This Row],[Cumulative Labor]:[Cumulative Other]])</f>
        <v>26220.262510254299</v>
      </c>
      <c r="P25" s="3">
        <f>SUM(day_cash[[#Headers],[Revenue]]:day_cash[[#This Row],[Revenue]])</f>
        <v>0</v>
      </c>
    </row>
    <row r="26" spans="2:16" x14ac:dyDescent="0.45">
      <c r="B26" s="1">
        <v>46409</v>
      </c>
      <c r="C26" s="4">
        <f>SUMIFS(schedule[Labor CPP], schedule[Start Date],"&lt;="&amp;day_cash[[#This Row],[Date]], schedule[Finish Date],"&gt;="&amp;day_cash[[#This Row],[Date]])</f>
        <v>1867.3092698933551</v>
      </c>
      <c r="D26" s="4">
        <f>SUMIFS(schedule[Material CPP], schedule[Start Date],"&lt;="&amp;day_cash[[#This Row],[Date]]-$D$2, schedule[Finish Date],"&gt;="&amp;day_cash[[#This Row],[Date]]-$D$2)</f>
        <v>0</v>
      </c>
      <c r="E26" s="4">
        <f>SUMIFS(schedule[Equipment CPP], schedule[Start Date],"&lt;="&amp;day_cash[[#This Row],[Date]]-$E$2, schedule[Finish Date],"&gt;="&amp;day_cash[[#This Row],[Date]]-$E$2)</f>
        <v>0</v>
      </c>
      <c r="F26" s="4">
        <f>SUMIFS(schedule[Sub CPP], schedule[Start Date],"&lt;="&amp;day_cash[[#This Row],[Date]]-$F$2, schedule[Finish Date],"&gt;="&amp;day_cash[[#This Row],[Date]]-$F$2)</f>
        <v>0</v>
      </c>
      <c r="G26" s="3">
        <f>SUMIFS(schedule[Other CPP], schedule[Start Date],"&lt;="&amp;day_cash[[#This Row],[Date]]-$G$2, schedule[Finish Date],"&gt;="&amp;day_cash[[#This Row],[Date]]-$G$2)</f>
        <v>0</v>
      </c>
      <c r="H26" s="3">
        <f>SUM(day_cash[[#This Row],[Labor Cost]:[Other Cost]])</f>
        <v>1867.3092698933551</v>
      </c>
      <c r="I26" s="3">
        <f>SUMIFS(schedule[Revenue per Day], schedule[Start Date],"&lt;="&amp;day_cash[[#This Row],[Date]]-$I$2, schedule[Finish Date],"&gt;="&amp;day_cash[[#This Row],[Date]]-$I$2)</f>
        <v>0</v>
      </c>
      <c r="J26" s="3">
        <f>SUM(day_cash[[#Headers],[Labor Cost]]:day_cash[[#This Row],[Labor Cost]])</f>
        <v>28087.571780147653</v>
      </c>
      <c r="K26" s="3">
        <f>SUM(day_cash[[#Headers],[Material Cost]]:day_cash[[#This Row],[Material Cost]])</f>
        <v>0</v>
      </c>
      <c r="L26" s="3">
        <f>SUM(day_cash[[#Headers],[Equipment Cost]]:day_cash[[#This Row],[Equipment Cost]])</f>
        <v>0</v>
      </c>
      <c r="M26" s="3">
        <f>SUM(day_cash[[#Headers],[Sub Cost]]:day_cash[[#This Row],[Sub Cost]])</f>
        <v>0</v>
      </c>
      <c r="N26" s="3">
        <f>SUM(day_cash[[#Headers],[Other Cost]]:day_cash[[#This Row],[Other Cost]])</f>
        <v>0</v>
      </c>
      <c r="O26" s="3">
        <f>SUM(day_cash[[#This Row],[Cumulative Labor]:[Cumulative Other]])</f>
        <v>28087.571780147653</v>
      </c>
      <c r="P26" s="3">
        <f>SUM(day_cash[[#Headers],[Revenue]]:day_cash[[#This Row],[Revenue]])</f>
        <v>0</v>
      </c>
    </row>
    <row r="27" spans="2:16" x14ac:dyDescent="0.45">
      <c r="B27" s="1">
        <v>46410</v>
      </c>
      <c r="C27" s="4">
        <f>SUMIFS(schedule[Labor CPP], schedule[Start Date],"&lt;="&amp;day_cash[[#This Row],[Date]], schedule[Finish Date],"&gt;="&amp;day_cash[[#This Row],[Date]])</f>
        <v>1867.3092698933551</v>
      </c>
      <c r="D27" s="4">
        <f>SUMIFS(schedule[Material CPP], schedule[Start Date],"&lt;="&amp;day_cash[[#This Row],[Date]]-$D$2, schedule[Finish Date],"&gt;="&amp;day_cash[[#This Row],[Date]]-$D$2)</f>
        <v>0</v>
      </c>
      <c r="E27" s="4">
        <f>SUMIFS(schedule[Equipment CPP], schedule[Start Date],"&lt;="&amp;day_cash[[#This Row],[Date]]-$E$2, schedule[Finish Date],"&gt;="&amp;day_cash[[#This Row],[Date]]-$E$2)</f>
        <v>0</v>
      </c>
      <c r="F27" s="4">
        <f>SUMIFS(schedule[Sub CPP], schedule[Start Date],"&lt;="&amp;day_cash[[#This Row],[Date]]-$F$2, schedule[Finish Date],"&gt;="&amp;day_cash[[#This Row],[Date]]-$F$2)</f>
        <v>0</v>
      </c>
      <c r="G27" s="3">
        <f>SUMIFS(schedule[Other CPP], schedule[Start Date],"&lt;="&amp;day_cash[[#This Row],[Date]]-$G$2, schedule[Finish Date],"&gt;="&amp;day_cash[[#This Row],[Date]]-$G$2)</f>
        <v>0</v>
      </c>
      <c r="H27" s="3">
        <f>SUM(day_cash[[#This Row],[Labor Cost]:[Other Cost]])</f>
        <v>1867.3092698933551</v>
      </c>
      <c r="I27" s="3">
        <f>SUMIFS(schedule[Revenue per Day], schedule[Start Date],"&lt;="&amp;day_cash[[#This Row],[Date]]-$I$2, schedule[Finish Date],"&gt;="&amp;day_cash[[#This Row],[Date]]-$I$2)</f>
        <v>0</v>
      </c>
      <c r="J27" s="3">
        <f>SUM(day_cash[[#Headers],[Labor Cost]]:day_cash[[#This Row],[Labor Cost]])</f>
        <v>29954.881050041007</v>
      </c>
      <c r="K27" s="3">
        <f>SUM(day_cash[[#Headers],[Material Cost]]:day_cash[[#This Row],[Material Cost]])</f>
        <v>0</v>
      </c>
      <c r="L27" s="3">
        <f>SUM(day_cash[[#Headers],[Equipment Cost]]:day_cash[[#This Row],[Equipment Cost]])</f>
        <v>0</v>
      </c>
      <c r="M27" s="3">
        <f>SUM(day_cash[[#Headers],[Sub Cost]]:day_cash[[#This Row],[Sub Cost]])</f>
        <v>0</v>
      </c>
      <c r="N27" s="3">
        <f>SUM(day_cash[[#Headers],[Other Cost]]:day_cash[[#This Row],[Other Cost]])</f>
        <v>0</v>
      </c>
      <c r="O27" s="3">
        <f>SUM(day_cash[[#This Row],[Cumulative Labor]:[Cumulative Other]])</f>
        <v>29954.881050041007</v>
      </c>
      <c r="P27" s="3">
        <f>SUM(day_cash[[#Headers],[Revenue]]:day_cash[[#This Row],[Revenue]])</f>
        <v>0</v>
      </c>
    </row>
    <row r="28" spans="2:16" x14ac:dyDescent="0.45">
      <c r="B28" s="1">
        <v>46411</v>
      </c>
      <c r="C28" s="4">
        <f>SUMIFS(schedule[Labor CPP], schedule[Start Date],"&lt;="&amp;day_cash[[#This Row],[Date]], schedule[Finish Date],"&gt;="&amp;day_cash[[#This Row],[Date]])</f>
        <v>1867.3092698933551</v>
      </c>
      <c r="D28" s="4">
        <f>SUMIFS(schedule[Material CPP], schedule[Start Date],"&lt;="&amp;day_cash[[#This Row],[Date]]-$D$2, schedule[Finish Date],"&gt;="&amp;day_cash[[#This Row],[Date]]-$D$2)</f>
        <v>0</v>
      </c>
      <c r="E28" s="4">
        <f>SUMIFS(schedule[Equipment CPP], schedule[Start Date],"&lt;="&amp;day_cash[[#This Row],[Date]]-$E$2, schedule[Finish Date],"&gt;="&amp;day_cash[[#This Row],[Date]]-$E$2)</f>
        <v>0</v>
      </c>
      <c r="F28" s="4">
        <f>SUMIFS(schedule[Sub CPP], schedule[Start Date],"&lt;="&amp;day_cash[[#This Row],[Date]]-$F$2, schedule[Finish Date],"&gt;="&amp;day_cash[[#This Row],[Date]]-$F$2)</f>
        <v>0</v>
      </c>
      <c r="G28" s="3">
        <f>SUMIFS(schedule[Other CPP], schedule[Start Date],"&lt;="&amp;day_cash[[#This Row],[Date]]-$G$2, schedule[Finish Date],"&gt;="&amp;day_cash[[#This Row],[Date]]-$G$2)</f>
        <v>0</v>
      </c>
      <c r="H28" s="3">
        <f>SUM(day_cash[[#This Row],[Labor Cost]:[Other Cost]])</f>
        <v>1867.3092698933551</v>
      </c>
      <c r="I28" s="3">
        <f>SUMIFS(schedule[Revenue per Day], schedule[Start Date],"&lt;="&amp;day_cash[[#This Row],[Date]]-$I$2, schedule[Finish Date],"&gt;="&amp;day_cash[[#This Row],[Date]]-$I$2)</f>
        <v>0</v>
      </c>
      <c r="J28" s="3">
        <f>SUM(day_cash[[#Headers],[Labor Cost]]:day_cash[[#This Row],[Labor Cost]])</f>
        <v>31822.190319934361</v>
      </c>
      <c r="K28" s="3">
        <f>SUM(day_cash[[#Headers],[Material Cost]]:day_cash[[#This Row],[Material Cost]])</f>
        <v>0</v>
      </c>
      <c r="L28" s="3">
        <f>SUM(day_cash[[#Headers],[Equipment Cost]]:day_cash[[#This Row],[Equipment Cost]])</f>
        <v>0</v>
      </c>
      <c r="M28" s="3">
        <f>SUM(day_cash[[#Headers],[Sub Cost]]:day_cash[[#This Row],[Sub Cost]])</f>
        <v>0</v>
      </c>
      <c r="N28" s="3">
        <f>SUM(day_cash[[#Headers],[Other Cost]]:day_cash[[#This Row],[Other Cost]])</f>
        <v>0</v>
      </c>
      <c r="O28" s="3">
        <f>SUM(day_cash[[#This Row],[Cumulative Labor]:[Cumulative Other]])</f>
        <v>31822.190319934361</v>
      </c>
      <c r="P28" s="3">
        <f>SUM(day_cash[[#Headers],[Revenue]]:day_cash[[#This Row],[Revenue]])</f>
        <v>0</v>
      </c>
    </row>
    <row r="29" spans="2:16" x14ac:dyDescent="0.45">
      <c r="B29" s="1">
        <v>46412</v>
      </c>
      <c r="C29" s="4">
        <f>SUMIFS(schedule[Labor CPP], schedule[Start Date],"&lt;="&amp;day_cash[[#This Row],[Date]], schedule[Finish Date],"&gt;="&amp;day_cash[[#This Row],[Date]])</f>
        <v>1867.3092698933551</v>
      </c>
      <c r="D29" s="4">
        <f>SUMIFS(schedule[Material CPP], schedule[Start Date],"&lt;="&amp;day_cash[[#This Row],[Date]]-$D$2, schedule[Finish Date],"&gt;="&amp;day_cash[[#This Row],[Date]]-$D$2)</f>
        <v>0</v>
      </c>
      <c r="E29" s="4">
        <f>SUMIFS(schedule[Equipment CPP], schedule[Start Date],"&lt;="&amp;day_cash[[#This Row],[Date]]-$E$2, schedule[Finish Date],"&gt;="&amp;day_cash[[#This Row],[Date]]-$E$2)</f>
        <v>0</v>
      </c>
      <c r="F29" s="4">
        <f>SUMIFS(schedule[Sub CPP], schedule[Start Date],"&lt;="&amp;day_cash[[#This Row],[Date]]-$F$2, schedule[Finish Date],"&gt;="&amp;day_cash[[#This Row],[Date]]-$F$2)</f>
        <v>0</v>
      </c>
      <c r="G29" s="3">
        <f>SUMIFS(schedule[Other CPP], schedule[Start Date],"&lt;="&amp;day_cash[[#This Row],[Date]]-$G$2, schedule[Finish Date],"&gt;="&amp;day_cash[[#This Row],[Date]]-$G$2)</f>
        <v>0</v>
      </c>
      <c r="H29" s="3">
        <f>SUM(day_cash[[#This Row],[Labor Cost]:[Other Cost]])</f>
        <v>1867.3092698933551</v>
      </c>
      <c r="I29" s="3">
        <f>SUMIFS(schedule[Revenue per Day], schedule[Start Date],"&lt;="&amp;day_cash[[#This Row],[Date]]-$I$2, schedule[Finish Date],"&gt;="&amp;day_cash[[#This Row],[Date]]-$I$2)</f>
        <v>0</v>
      </c>
      <c r="J29" s="3">
        <f>SUM(day_cash[[#Headers],[Labor Cost]]:day_cash[[#This Row],[Labor Cost]])</f>
        <v>33689.499589827719</v>
      </c>
      <c r="K29" s="3">
        <f>SUM(day_cash[[#Headers],[Material Cost]]:day_cash[[#This Row],[Material Cost]])</f>
        <v>0</v>
      </c>
      <c r="L29" s="3">
        <f>SUM(day_cash[[#Headers],[Equipment Cost]]:day_cash[[#This Row],[Equipment Cost]])</f>
        <v>0</v>
      </c>
      <c r="M29" s="3">
        <f>SUM(day_cash[[#Headers],[Sub Cost]]:day_cash[[#This Row],[Sub Cost]])</f>
        <v>0</v>
      </c>
      <c r="N29" s="3">
        <f>SUM(day_cash[[#Headers],[Other Cost]]:day_cash[[#This Row],[Other Cost]])</f>
        <v>0</v>
      </c>
      <c r="O29" s="3">
        <f>SUM(day_cash[[#This Row],[Cumulative Labor]:[Cumulative Other]])</f>
        <v>33689.499589827719</v>
      </c>
      <c r="P29" s="3">
        <f>SUM(day_cash[[#Headers],[Revenue]]:day_cash[[#This Row],[Revenue]])</f>
        <v>0</v>
      </c>
    </row>
    <row r="30" spans="2:16" x14ac:dyDescent="0.45">
      <c r="B30" s="1">
        <v>46413</v>
      </c>
      <c r="C30" s="4">
        <f>SUMIFS(schedule[Labor CPP], schedule[Start Date],"&lt;="&amp;day_cash[[#This Row],[Date]], schedule[Finish Date],"&gt;="&amp;day_cash[[#This Row],[Date]])</f>
        <v>1867.3092698933551</v>
      </c>
      <c r="D30" s="4">
        <f>SUMIFS(schedule[Material CPP], schedule[Start Date],"&lt;="&amp;day_cash[[#This Row],[Date]]-$D$2, schedule[Finish Date],"&gt;="&amp;day_cash[[#This Row],[Date]]-$D$2)</f>
        <v>0</v>
      </c>
      <c r="E30" s="4">
        <f>SUMIFS(schedule[Equipment CPP], schedule[Start Date],"&lt;="&amp;day_cash[[#This Row],[Date]]-$E$2, schedule[Finish Date],"&gt;="&amp;day_cash[[#This Row],[Date]]-$E$2)</f>
        <v>0</v>
      </c>
      <c r="F30" s="4">
        <f>SUMIFS(schedule[Sub CPP], schedule[Start Date],"&lt;="&amp;day_cash[[#This Row],[Date]]-$F$2, schedule[Finish Date],"&gt;="&amp;day_cash[[#This Row],[Date]]-$F$2)</f>
        <v>0</v>
      </c>
      <c r="G30" s="3">
        <f>SUMIFS(schedule[Other CPP], schedule[Start Date],"&lt;="&amp;day_cash[[#This Row],[Date]]-$G$2, schedule[Finish Date],"&gt;="&amp;day_cash[[#This Row],[Date]]-$G$2)</f>
        <v>0</v>
      </c>
      <c r="H30" s="3">
        <f>SUM(day_cash[[#This Row],[Labor Cost]:[Other Cost]])</f>
        <v>1867.3092698933551</v>
      </c>
      <c r="I30" s="3">
        <f>SUMIFS(schedule[Revenue per Day], schedule[Start Date],"&lt;="&amp;day_cash[[#This Row],[Date]]-$I$2, schedule[Finish Date],"&gt;="&amp;day_cash[[#This Row],[Date]]-$I$2)</f>
        <v>0</v>
      </c>
      <c r="J30" s="3">
        <f>SUM(day_cash[[#Headers],[Labor Cost]]:day_cash[[#This Row],[Labor Cost]])</f>
        <v>35556.808859721074</v>
      </c>
      <c r="K30" s="3">
        <f>SUM(day_cash[[#Headers],[Material Cost]]:day_cash[[#This Row],[Material Cost]])</f>
        <v>0</v>
      </c>
      <c r="L30" s="3">
        <f>SUM(day_cash[[#Headers],[Equipment Cost]]:day_cash[[#This Row],[Equipment Cost]])</f>
        <v>0</v>
      </c>
      <c r="M30" s="3">
        <f>SUM(day_cash[[#Headers],[Sub Cost]]:day_cash[[#This Row],[Sub Cost]])</f>
        <v>0</v>
      </c>
      <c r="N30" s="3">
        <f>SUM(day_cash[[#Headers],[Other Cost]]:day_cash[[#This Row],[Other Cost]])</f>
        <v>0</v>
      </c>
      <c r="O30" s="3">
        <f>SUM(day_cash[[#This Row],[Cumulative Labor]:[Cumulative Other]])</f>
        <v>35556.808859721074</v>
      </c>
      <c r="P30" s="3">
        <f>SUM(day_cash[[#Headers],[Revenue]]:day_cash[[#This Row],[Revenue]])</f>
        <v>0</v>
      </c>
    </row>
    <row r="31" spans="2:16" x14ac:dyDescent="0.45">
      <c r="B31" s="1">
        <v>46414</v>
      </c>
      <c r="C31" s="4">
        <f>SUMIFS(schedule[Labor CPP], schedule[Start Date],"&lt;="&amp;day_cash[[#This Row],[Date]], schedule[Finish Date],"&gt;="&amp;day_cash[[#This Row],[Date]])</f>
        <v>1867.3092698933551</v>
      </c>
      <c r="D31" s="4">
        <f>SUMIFS(schedule[Material CPP], schedule[Start Date],"&lt;="&amp;day_cash[[#This Row],[Date]]-$D$2, schedule[Finish Date],"&gt;="&amp;day_cash[[#This Row],[Date]]-$D$2)</f>
        <v>0</v>
      </c>
      <c r="E31" s="4">
        <f>SUMIFS(schedule[Equipment CPP], schedule[Start Date],"&lt;="&amp;day_cash[[#This Row],[Date]]-$E$2, schedule[Finish Date],"&gt;="&amp;day_cash[[#This Row],[Date]]-$E$2)</f>
        <v>0</v>
      </c>
      <c r="F31" s="4">
        <f>SUMIFS(schedule[Sub CPP], schedule[Start Date],"&lt;="&amp;day_cash[[#This Row],[Date]]-$F$2, schedule[Finish Date],"&gt;="&amp;day_cash[[#This Row],[Date]]-$F$2)</f>
        <v>0</v>
      </c>
      <c r="G31" s="3">
        <f>SUMIFS(schedule[Other CPP], schedule[Start Date],"&lt;="&amp;day_cash[[#This Row],[Date]]-$G$2, schedule[Finish Date],"&gt;="&amp;day_cash[[#This Row],[Date]]-$G$2)</f>
        <v>0</v>
      </c>
      <c r="H31" s="3">
        <f>SUM(day_cash[[#This Row],[Labor Cost]:[Other Cost]])</f>
        <v>1867.3092698933551</v>
      </c>
      <c r="I31" s="3">
        <f>SUMIFS(schedule[Revenue per Day], schedule[Start Date],"&lt;="&amp;day_cash[[#This Row],[Date]]-$I$2, schedule[Finish Date],"&gt;="&amp;day_cash[[#This Row],[Date]]-$I$2)</f>
        <v>0</v>
      </c>
      <c r="J31" s="3">
        <f>SUM(day_cash[[#Headers],[Labor Cost]]:day_cash[[#This Row],[Labor Cost]])</f>
        <v>37424.118129614428</v>
      </c>
      <c r="K31" s="3">
        <f>SUM(day_cash[[#Headers],[Material Cost]]:day_cash[[#This Row],[Material Cost]])</f>
        <v>0</v>
      </c>
      <c r="L31" s="3">
        <f>SUM(day_cash[[#Headers],[Equipment Cost]]:day_cash[[#This Row],[Equipment Cost]])</f>
        <v>0</v>
      </c>
      <c r="M31" s="3">
        <f>SUM(day_cash[[#Headers],[Sub Cost]]:day_cash[[#This Row],[Sub Cost]])</f>
        <v>0</v>
      </c>
      <c r="N31" s="3">
        <f>SUM(day_cash[[#Headers],[Other Cost]]:day_cash[[#This Row],[Other Cost]])</f>
        <v>0</v>
      </c>
      <c r="O31" s="3">
        <f>SUM(day_cash[[#This Row],[Cumulative Labor]:[Cumulative Other]])</f>
        <v>37424.118129614428</v>
      </c>
      <c r="P31" s="3">
        <f>SUM(day_cash[[#Headers],[Revenue]]:day_cash[[#This Row],[Revenue]])</f>
        <v>0</v>
      </c>
    </row>
    <row r="32" spans="2:16" x14ac:dyDescent="0.45">
      <c r="B32" s="1">
        <v>46415</v>
      </c>
      <c r="C32" s="4">
        <f>SUMIFS(schedule[Labor CPP], schedule[Start Date],"&lt;="&amp;day_cash[[#This Row],[Date]], schedule[Finish Date],"&gt;="&amp;day_cash[[#This Row],[Date]])</f>
        <v>1867.3092698933551</v>
      </c>
      <c r="D32" s="4">
        <f>SUMIFS(schedule[Material CPP], schedule[Start Date],"&lt;="&amp;day_cash[[#This Row],[Date]]-$D$2, schedule[Finish Date],"&gt;="&amp;day_cash[[#This Row],[Date]]-$D$2)</f>
        <v>0</v>
      </c>
      <c r="E32" s="4">
        <f>SUMIFS(schedule[Equipment CPP], schedule[Start Date],"&lt;="&amp;day_cash[[#This Row],[Date]]-$E$2, schedule[Finish Date],"&gt;="&amp;day_cash[[#This Row],[Date]]-$E$2)</f>
        <v>0</v>
      </c>
      <c r="F32" s="4">
        <f>SUMIFS(schedule[Sub CPP], schedule[Start Date],"&lt;="&amp;day_cash[[#This Row],[Date]]-$F$2, schedule[Finish Date],"&gt;="&amp;day_cash[[#This Row],[Date]]-$F$2)</f>
        <v>0</v>
      </c>
      <c r="G32" s="3">
        <f>SUMIFS(schedule[Other CPP], schedule[Start Date],"&lt;="&amp;day_cash[[#This Row],[Date]]-$G$2, schedule[Finish Date],"&gt;="&amp;day_cash[[#This Row],[Date]]-$G$2)</f>
        <v>0</v>
      </c>
      <c r="H32" s="3">
        <f>SUM(day_cash[[#This Row],[Labor Cost]:[Other Cost]])</f>
        <v>1867.3092698933551</v>
      </c>
      <c r="I32" s="3">
        <f>SUMIFS(schedule[Revenue per Day], schedule[Start Date],"&lt;="&amp;day_cash[[#This Row],[Date]]-$I$2, schedule[Finish Date],"&gt;="&amp;day_cash[[#This Row],[Date]]-$I$2)</f>
        <v>0</v>
      </c>
      <c r="J32" s="3">
        <f>SUM(day_cash[[#Headers],[Labor Cost]]:day_cash[[#This Row],[Labor Cost]])</f>
        <v>39291.427399507782</v>
      </c>
      <c r="K32" s="3">
        <f>SUM(day_cash[[#Headers],[Material Cost]]:day_cash[[#This Row],[Material Cost]])</f>
        <v>0</v>
      </c>
      <c r="L32" s="3">
        <f>SUM(day_cash[[#Headers],[Equipment Cost]]:day_cash[[#This Row],[Equipment Cost]])</f>
        <v>0</v>
      </c>
      <c r="M32" s="3">
        <f>SUM(day_cash[[#Headers],[Sub Cost]]:day_cash[[#This Row],[Sub Cost]])</f>
        <v>0</v>
      </c>
      <c r="N32" s="3">
        <f>SUM(day_cash[[#Headers],[Other Cost]]:day_cash[[#This Row],[Other Cost]])</f>
        <v>0</v>
      </c>
      <c r="O32" s="3">
        <f>SUM(day_cash[[#This Row],[Cumulative Labor]:[Cumulative Other]])</f>
        <v>39291.427399507782</v>
      </c>
      <c r="P32" s="3">
        <f>SUM(day_cash[[#Headers],[Revenue]]:day_cash[[#This Row],[Revenue]])</f>
        <v>0</v>
      </c>
    </row>
    <row r="33" spans="2:16" x14ac:dyDescent="0.45">
      <c r="B33" s="1">
        <v>46416</v>
      </c>
      <c r="C33" s="4">
        <f>SUMIFS(schedule[Labor CPP], schedule[Start Date],"&lt;="&amp;day_cash[[#This Row],[Date]], schedule[Finish Date],"&gt;="&amp;day_cash[[#This Row],[Date]])</f>
        <v>1867.3092698933551</v>
      </c>
      <c r="D33" s="4">
        <f>SUMIFS(schedule[Material CPP], schedule[Start Date],"&lt;="&amp;day_cash[[#This Row],[Date]]-$D$2, schedule[Finish Date],"&gt;="&amp;day_cash[[#This Row],[Date]]-$D$2)</f>
        <v>0</v>
      </c>
      <c r="E33" s="4">
        <f>SUMIFS(schedule[Equipment CPP], schedule[Start Date],"&lt;="&amp;day_cash[[#This Row],[Date]]-$E$2, schedule[Finish Date],"&gt;="&amp;day_cash[[#This Row],[Date]]-$E$2)</f>
        <v>0</v>
      </c>
      <c r="F33" s="4">
        <f>SUMIFS(schedule[Sub CPP], schedule[Start Date],"&lt;="&amp;day_cash[[#This Row],[Date]]-$F$2, schedule[Finish Date],"&gt;="&amp;day_cash[[#This Row],[Date]]-$F$2)</f>
        <v>0</v>
      </c>
      <c r="G33" s="3">
        <f>SUMIFS(schedule[Other CPP], schedule[Start Date],"&lt;="&amp;day_cash[[#This Row],[Date]]-$G$2, schedule[Finish Date],"&gt;="&amp;day_cash[[#This Row],[Date]]-$G$2)</f>
        <v>0</v>
      </c>
      <c r="H33" s="3">
        <f>SUM(day_cash[[#This Row],[Labor Cost]:[Other Cost]])</f>
        <v>1867.3092698933551</v>
      </c>
      <c r="I33" s="3">
        <f>SUMIFS(schedule[Revenue per Day], schedule[Start Date],"&lt;="&amp;day_cash[[#This Row],[Date]]-$I$2, schedule[Finish Date],"&gt;="&amp;day_cash[[#This Row],[Date]]-$I$2)</f>
        <v>0</v>
      </c>
      <c r="J33" s="3">
        <f>SUM(day_cash[[#Headers],[Labor Cost]]:day_cash[[#This Row],[Labor Cost]])</f>
        <v>41158.736669401136</v>
      </c>
      <c r="K33" s="3">
        <f>SUM(day_cash[[#Headers],[Material Cost]]:day_cash[[#This Row],[Material Cost]])</f>
        <v>0</v>
      </c>
      <c r="L33" s="3">
        <f>SUM(day_cash[[#Headers],[Equipment Cost]]:day_cash[[#This Row],[Equipment Cost]])</f>
        <v>0</v>
      </c>
      <c r="M33" s="3">
        <f>SUM(day_cash[[#Headers],[Sub Cost]]:day_cash[[#This Row],[Sub Cost]])</f>
        <v>0</v>
      </c>
      <c r="N33" s="3">
        <f>SUM(day_cash[[#Headers],[Other Cost]]:day_cash[[#This Row],[Other Cost]])</f>
        <v>0</v>
      </c>
      <c r="O33" s="3">
        <f>SUM(day_cash[[#This Row],[Cumulative Labor]:[Cumulative Other]])</f>
        <v>41158.736669401136</v>
      </c>
      <c r="P33" s="3">
        <f>SUM(day_cash[[#Headers],[Revenue]]:day_cash[[#This Row],[Revenue]])</f>
        <v>0</v>
      </c>
    </row>
    <row r="34" spans="2:16" x14ac:dyDescent="0.45">
      <c r="B34" s="1">
        <v>46417</v>
      </c>
      <c r="C34" s="4">
        <f>SUMIFS(schedule[Labor CPP], schedule[Start Date],"&lt;="&amp;day_cash[[#This Row],[Date]], schedule[Finish Date],"&gt;="&amp;day_cash[[#This Row],[Date]])</f>
        <v>1867.3092698933551</v>
      </c>
      <c r="D34" s="4">
        <f>SUMIFS(schedule[Material CPP], schedule[Start Date],"&lt;="&amp;day_cash[[#This Row],[Date]]-$D$2, schedule[Finish Date],"&gt;="&amp;day_cash[[#This Row],[Date]]-$D$2)</f>
        <v>0</v>
      </c>
      <c r="E34" s="4">
        <f>SUMIFS(schedule[Equipment CPP], schedule[Start Date],"&lt;="&amp;day_cash[[#This Row],[Date]]-$E$2, schedule[Finish Date],"&gt;="&amp;day_cash[[#This Row],[Date]]-$E$2)</f>
        <v>0</v>
      </c>
      <c r="F34" s="4">
        <f>SUMIFS(schedule[Sub CPP], schedule[Start Date],"&lt;="&amp;day_cash[[#This Row],[Date]]-$F$2, schedule[Finish Date],"&gt;="&amp;day_cash[[#This Row],[Date]]-$F$2)</f>
        <v>0</v>
      </c>
      <c r="G34" s="3">
        <f>SUMIFS(schedule[Other CPP], schedule[Start Date],"&lt;="&amp;day_cash[[#This Row],[Date]]-$G$2, schedule[Finish Date],"&gt;="&amp;day_cash[[#This Row],[Date]]-$G$2)</f>
        <v>0</v>
      </c>
      <c r="H34" s="3">
        <f>SUM(day_cash[[#This Row],[Labor Cost]:[Other Cost]])</f>
        <v>1867.3092698933551</v>
      </c>
      <c r="I34" s="3">
        <f>SUMIFS(schedule[Revenue per Day], schedule[Start Date],"&lt;="&amp;day_cash[[#This Row],[Date]]-$I$2, schedule[Finish Date],"&gt;="&amp;day_cash[[#This Row],[Date]]-$I$2)</f>
        <v>0</v>
      </c>
      <c r="J34" s="3">
        <f>SUM(day_cash[[#Headers],[Labor Cost]]:day_cash[[#This Row],[Labor Cost]])</f>
        <v>43026.04593929449</v>
      </c>
      <c r="K34" s="3">
        <f>SUM(day_cash[[#Headers],[Material Cost]]:day_cash[[#This Row],[Material Cost]])</f>
        <v>0</v>
      </c>
      <c r="L34" s="3">
        <f>SUM(day_cash[[#Headers],[Equipment Cost]]:day_cash[[#This Row],[Equipment Cost]])</f>
        <v>0</v>
      </c>
      <c r="M34" s="3">
        <f>SUM(day_cash[[#Headers],[Sub Cost]]:day_cash[[#This Row],[Sub Cost]])</f>
        <v>0</v>
      </c>
      <c r="N34" s="3">
        <f>SUM(day_cash[[#Headers],[Other Cost]]:day_cash[[#This Row],[Other Cost]])</f>
        <v>0</v>
      </c>
      <c r="O34" s="3">
        <f>SUM(day_cash[[#This Row],[Cumulative Labor]:[Cumulative Other]])</f>
        <v>43026.04593929449</v>
      </c>
      <c r="P34" s="3">
        <f>SUM(day_cash[[#Headers],[Revenue]]:day_cash[[#This Row],[Revenue]])</f>
        <v>0</v>
      </c>
    </row>
    <row r="35" spans="2:16" x14ac:dyDescent="0.45">
      <c r="B35" s="1">
        <v>46418</v>
      </c>
      <c r="C35" s="4">
        <f>SUMIFS(schedule[Labor CPP], schedule[Start Date],"&lt;="&amp;day_cash[[#This Row],[Date]], schedule[Finish Date],"&gt;="&amp;day_cash[[#This Row],[Date]])</f>
        <v>1867.3092698933551</v>
      </c>
      <c r="D35" s="4">
        <f>SUMIFS(schedule[Material CPP], schedule[Start Date],"&lt;="&amp;day_cash[[#This Row],[Date]]-$D$2, schedule[Finish Date],"&gt;="&amp;day_cash[[#This Row],[Date]]-$D$2)</f>
        <v>0</v>
      </c>
      <c r="E35" s="4">
        <f>SUMIFS(schedule[Equipment CPP], schedule[Start Date],"&lt;="&amp;day_cash[[#This Row],[Date]]-$E$2, schedule[Finish Date],"&gt;="&amp;day_cash[[#This Row],[Date]]-$E$2)</f>
        <v>0</v>
      </c>
      <c r="F35" s="4">
        <f>SUMIFS(schedule[Sub CPP], schedule[Start Date],"&lt;="&amp;day_cash[[#This Row],[Date]]-$F$2, schedule[Finish Date],"&gt;="&amp;day_cash[[#This Row],[Date]]-$F$2)</f>
        <v>0</v>
      </c>
      <c r="G35" s="3">
        <f>SUMIFS(schedule[Other CPP], schedule[Start Date],"&lt;="&amp;day_cash[[#This Row],[Date]]-$G$2, schedule[Finish Date],"&gt;="&amp;day_cash[[#This Row],[Date]]-$G$2)</f>
        <v>0</v>
      </c>
      <c r="H35" s="3">
        <f>SUM(day_cash[[#This Row],[Labor Cost]:[Other Cost]])</f>
        <v>1867.3092698933551</v>
      </c>
      <c r="I35" s="3">
        <f>SUMIFS(schedule[Revenue per Day], schedule[Start Date],"&lt;="&amp;day_cash[[#This Row],[Date]]-$I$2, schedule[Finish Date],"&gt;="&amp;day_cash[[#This Row],[Date]]-$I$2)</f>
        <v>0</v>
      </c>
      <c r="J35" s="3">
        <f>SUM(day_cash[[#Headers],[Labor Cost]]:day_cash[[#This Row],[Labor Cost]])</f>
        <v>44893.355209187845</v>
      </c>
      <c r="K35" s="3">
        <f>SUM(day_cash[[#Headers],[Material Cost]]:day_cash[[#This Row],[Material Cost]])</f>
        <v>0</v>
      </c>
      <c r="L35" s="3">
        <f>SUM(day_cash[[#Headers],[Equipment Cost]]:day_cash[[#This Row],[Equipment Cost]])</f>
        <v>0</v>
      </c>
      <c r="M35" s="3">
        <f>SUM(day_cash[[#Headers],[Sub Cost]]:day_cash[[#This Row],[Sub Cost]])</f>
        <v>0</v>
      </c>
      <c r="N35" s="3">
        <f>SUM(day_cash[[#Headers],[Other Cost]]:day_cash[[#This Row],[Other Cost]])</f>
        <v>0</v>
      </c>
      <c r="O35" s="3">
        <f>SUM(day_cash[[#This Row],[Cumulative Labor]:[Cumulative Other]])</f>
        <v>44893.355209187845</v>
      </c>
      <c r="P35" s="3">
        <f>SUM(day_cash[[#Headers],[Revenue]]:day_cash[[#This Row],[Revenue]])</f>
        <v>0</v>
      </c>
    </row>
    <row r="36" spans="2:16" x14ac:dyDescent="0.45">
      <c r="B36" s="1">
        <v>46419</v>
      </c>
      <c r="C36" s="4">
        <f>SUMIFS(schedule[Labor CPP], schedule[Start Date],"&lt;="&amp;day_cash[[#This Row],[Date]], schedule[Finish Date],"&gt;="&amp;day_cash[[#This Row],[Date]])</f>
        <v>1867.3092698933551</v>
      </c>
      <c r="D36" s="4">
        <f>SUMIFS(schedule[Material CPP], schedule[Start Date],"&lt;="&amp;day_cash[[#This Row],[Date]]-$D$2, schedule[Finish Date],"&gt;="&amp;day_cash[[#This Row],[Date]]-$D$2)</f>
        <v>0</v>
      </c>
      <c r="E36" s="4">
        <f>SUMIFS(schedule[Equipment CPP], schedule[Start Date],"&lt;="&amp;day_cash[[#This Row],[Date]]-$E$2, schedule[Finish Date],"&gt;="&amp;day_cash[[#This Row],[Date]]-$E$2)</f>
        <v>0</v>
      </c>
      <c r="F36" s="4">
        <f>SUMIFS(schedule[Sub CPP], schedule[Start Date],"&lt;="&amp;day_cash[[#This Row],[Date]]-$F$2, schedule[Finish Date],"&gt;="&amp;day_cash[[#This Row],[Date]]-$F$2)</f>
        <v>0</v>
      </c>
      <c r="G36" s="3">
        <f>SUMIFS(schedule[Other CPP], schedule[Start Date],"&lt;="&amp;day_cash[[#This Row],[Date]]-$G$2, schedule[Finish Date],"&gt;="&amp;day_cash[[#This Row],[Date]]-$G$2)</f>
        <v>0</v>
      </c>
      <c r="H36" s="3">
        <f>SUM(day_cash[[#This Row],[Labor Cost]:[Other Cost]])</f>
        <v>1867.3092698933551</v>
      </c>
      <c r="I36" s="3">
        <f>SUMIFS(schedule[Revenue per Day], schedule[Start Date],"&lt;="&amp;day_cash[[#This Row],[Date]]-$I$2, schedule[Finish Date],"&gt;="&amp;day_cash[[#This Row],[Date]]-$I$2)</f>
        <v>0</v>
      </c>
      <c r="J36" s="3">
        <f>SUM(day_cash[[#Headers],[Labor Cost]]:day_cash[[#This Row],[Labor Cost]])</f>
        <v>46760.664479081199</v>
      </c>
      <c r="K36" s="3">
        <f>SUM(day_cash[[#Headers],[Material Cost]]:day_cash[[#This Row],[Material Cost]])</f>
        <v>0</v>
      </c>
      <c r="L36" s="3">
        <f>SUM(day_cash[[#Headers],[Equipment Cost]]:day_cash[[#This Row],[Equipment Cost]])</f>
        <v>0</v>
      </c>
      <c r="M36" s="3">
        <f>SUM(day_cash[[#Headers],[Sub Cost]]:day_cash[[#This Row],[Sub Cost]])</f>
        <v>0</v>
      </c>
      <c r="N36" s="3">
        <f>SUM(day_cash[[#Headers],[Other Cost]]:day_cash[[#This Row],[Other Cost]])</f>
        <v>0</v>
      </c>
      <c r="O36" s="3">
        <f>SUM(day_cash[[#This Row],[Cumulative Labor]:[Cumulative Other]])</f>
        <v>46760.664479081199</v>
      </c>
      <c r="P36" s="3">
        <f>SUM(day_cash[[#Headers],[Revenue]]:day_cash[[#This Row],[Revenue]])</f>
        <v>0</v>
      </c>
    </row>
    <row r="37" spans="2:16" x14ac:dyDescent="0.45">
      <c r="B37" s="1">
        <v>46420</v>
      </c>
      <c r="C37" s="4">
        <f>SUMIFS(schedule[Labor CPP], schedule[Start Date],"&lt;="&amp;day_cash[[#This Row],[Date]], schedule[Finish Date],"&gt;="&amp;day_cash[[#This Row],[Date]])</f>
        <v>1867.3092698933551</v>
      </c>
      <c r="D37" s="4">
        <f>SUMIFS(schedule[Material CPP], schedule[Start Date],"&lt;="&amp;day_cash[[#This Row],[Date]]-$D$2, schedule[Finish Date],"&gt;="&amp;day_cash[[#This Row],[Date]]-$D$2)</f>
        <v>0</v>
      </c>
      <c r="E37" s="4">
        <f>SUMIFS(schedule[Equipment CPP], schedule[Start Date],"&lt;="&amp;day_cash[[#This Row],[Date]]-$E$2, schedule[Finish Date],"&gt;="&amp;day_cash[[#This Row],[Date]]-$E$2)</f>
        <v>0</v>
      </c>
      <c r="F37" s="4">
        <f>SUMIFS(schedule[Sub CPP], schedule[Start Date],"&lt;="&amp;day_cash[[#This Row],[Date]]-$F$2, schedule[Finish Date],"&gt;="&amp;day_cash[[#This Row],[Date]]-$F$2)</f>
        <v>0</v>
      </c>
      <c r="G37" s="3">
        <f>SUMIFS(schedule[Other CPP], schedule[Start Date],"&lt;="&amp;day_cash[[#This Row],[Date]]-$G$2, schedule[Finish Date],"&gt;="&amp;day_cash[[#This Row],[Date]]-$G$2)</f>
        <v>0</v>
      </c>
      <c r="H37" s="3">
        <f>SUM(day_cash[[#This Row],[Labor Cost]:[Other Cost]])</f>
        <v>1867.3092698933551</v>
      </c>
      <c r="I37" s="3">
        <f>SUMIFS(schedule[Revenue per Day], schedule[Start Date],"&lt;="&amp;day_cash[[#This Row],[Date]]-$I$2, schedule[Finish Date],"&gt;="&amp;day_cash[[#This Row],[Date]]-$I$2)</f>
        <v>0</v>
      </c>
      <c r="J37" s="3">
        <f>SUM(day_cash[[#Headers],[Labor Cost]]:day_cash[[#This Row],[Labor Cost]])</f>
        <v>48627.973748974553</v>
      </c>
      <c r="K37" s="3">
        <f>SUM(day_cash[[#Headers],[Material Cost]]:day_cash[[#This Row],[Material Cost]])</f>
        <v>0</v>
      </c>
      <c r="L37" s="3">
        <f>SUM(day_cash[[#Headers],[Equipment Cost]]:day_cash[[#This Row],[Equipment Cost]])</f>
        <v>0</v>
      </c>
      <c r="M37" s="3">
        <f>SUM(day_cash[[#Headers],[Sub Cost]]:day_cash[[#This Row],[Sub Cost]])</f>
        <v>0</v>
      </c>
      <c r="N37" s="3">
        <f>SUM(day_cash[[#Headers],[Other Cost]]:day_cash[[#This Row],[Other Cost]])</f>
        <v>0</v>
      </c>
      <c r="O37" s="3">
        <f>SUM(day_cash[[#This Row],[Cumulative Labor]:[Cumulative Other]])</f>
        <v>48627.973748974553</v>
      </c>
      <c r="P37" s="3">
        <f>SUM(day_cash[[#Headers],[Revenue]]:day_cash[[#This Row],[Revenue]])</f>
        <v>0</v>
      </c>
    </row>
    <row r="38" spans="2:16" x14ac:dyDescent="0.45">
      <c r="B38" s="1">
        <v>46421</v>
      </c>
      <c r="C38" s="4">
        <f>SUMIFS(schedule[Labor CPP], schedule[Start Date],"&lt;="&amp;day_cash[[#This Row],[Date]], schedule[Finish Date],"&gt;="&amp;day_cash[[#This Row],[Date]])</f>
        <v>1867.3092698933551</v>
      </c>
      <c r="D38" s="4">
        <f>SUMIFS(schedule[Material CPP], schedule[Start Date],"&lt;="&amp;day_cash[[#This Row],[Date]]-$D$2, schedule[Finish Date],"&gt;="&amp;day_cash[[#This Row],[Date]]-$D$2)</f>
        <v>0</v>
      </c>
      <c r="E38" s="4">
        <f>SUMIFS(schedule[Equipment CPP], schedule[Start Date],"&lt;="&amp;day_cash[[#This Row],[Date]]-$E$2, schedule[Finish Date],"&gt;="&amp;day_cash[[#This Row],[Date]]-$E$2)</f>
        <v>471.69811320754718</v>
      </c>
      <c r="F38" s="4">
        <f>SUMIFS(schedule[Sub CPP], schedule[Start Date],"&lt;="&amp;day_cash[[#This Row],[Date]]-$F$2, schedule[Finish Date],"&gt;="&amp;day_cash[[#This Row],[Date]]-$F$2)</f>
        <v>0</v>
      </c>
      <c r="G38" s="3">
        <f>SUMIFS(schedule[Other CPP], schedule[Start Date],"&lt;="&amp;day_cash[[#This Row],[Date]]-$G$2, schedule[Finish Date],"&gt;="&amp;day_cash[[#This Row],[Date]]-$G$2)</f>
        <v>314.46540880503147</v>
      </c>
      <c r="H38" s="3">
        <f>SUM(day_cash[[#This Row],[Labor Cost]:[Other Cost]])</f>
        <v>2653.4727919059337</v>
      </c>
      <c r="I38" s="3">
        <f>SUMIFS(schedule[Revenue per Day], schedule[Start Date],"&lt;="&amp;day_cash[[#This Row],[Date]]-$I$2, schedule[Finish Date],"&gt;="&amp;day_cash[[#This Row],[Date]]-$I$2)</f>
        <v>0</v>
      </c>
      <c r="J38" s="3">
        <f>SUM(day_cash[[#Headers],[Labor Cost]]:day_cash[[#This Row],[Labor Cost]])</f>
        <v>50495.283018867907</v>
      </c>
      <c r="K38" s="3">
        <f>SUM(day_cash[[#Headers],[Material Cost]]:day_cash[[#This Row],[Material Cost]])</f>
        <v>0</v>
      </c>
      <c r="L38" s="3">
        <f>SUM(day_cash[[#Headers],[Equipment Cost]]:day_cash[[#This Row],[Equipment Cost]])</f>
        <v>471.69811320754718</v>
      </c>
      <c r="M38" s="3">
        <f>SUM(day_cash[[#Headers],[Sub Cost]]:day_cash[[#This Row],[Sub Cost]])</f>
        <v>0</v>
      </c>
      <c r="N38" s="3">
        <f>SUM(day_cash[[#Headers],[Other Cost]]:day_cash[[#This Row],[Other Cost]])</f>
        <v>314.46540880503147</v>
      </c>
      <c r="O38" s="3">
        <f>SUM(day_cash[[#This Row],[Cumulative Labor]:[Cumulative Other]])</f>
        <v>51281.446540880483</v>
      </c>
      <c r="P38" s="3">
        <f>SUM(day_cash[[#Headers],[Revenue]]:day_cash[[#This Row],[Revenue]])</f>
        <v>0</v>
      </c>
    </row>
    <row r="39" spans="2:16" x14ac:dyDescent="0.45">
      <c r="B39" s="1">
        <v>46422</v>
      </c>
      <c r="C39" s="4">
        <f>SUMIFS(schedule[Labor CPP], schedule[Start Date],"&lt;="&amp;day_cash[[#This Row],[Date]], schedule[Finish Date],"&gt;="&amp;day_cash[[#This Row],[Date]])</f>
        <v>1867.3092698933551</v>
      </c>
      <c r="D39" s="4">
        <f>SUMIFS(schedule[Material CPP], schedule[Start Date],"&lt;="&amp;day_cash[[#This Row],[Date]]-$D$2, schedule[Finish Date],"&gt;="&amp;day_cash[[#This Row],[Date]]-$D$2)</f>
        <v>0</v>
      </c>
      <c r="E39" s="4">
        <f>SUMIFS(schedule[Equipment CPP], schedule[Start Date],"&lt;="&amp;day_cash[[#This Row],[Date]]-$E$2, schedule[Finish Date],"&gt;="&amp;day_cash[[#This Row],[Date]]-$E$2)</f>
        <v>471.69811320754718</v>
      </c>
      <c r="F39" s="4">
        <f>SUMIFS(schedule[Sub CPP], schedule[Start Date],"&lt;="&amp;day_cash[[#This Row],[Date]]-$F$2, schedule[Finish Date],"&gt;="&amp;day_cash[[#This Row],[Date]]-$F$2)</f>
        <v>0</v>
      </c>
      <c r="G39" s="3">
        <f>SUMIFS(schedule[Other CPP], schedule[Start Date],"&lt;="&amp;day_cash[[#This Row],[Date]]-$G$2, schedule[Finish Date],"&gt;="&amp;day_cash[[#This Row],[Date]]-$G$2)</f>
        <v>314.46540880503147</v>
      </c>
      <c r="H39" s="3">
        <f>SUM(day_cash[[#This Row],[Labor Cost]:[Other Cost]])</f>
        <v>2653.4727919059337</v>
      </c>
      <c r="I39" s="3">
        <f>SUMIFS(schedule[Revenue per Day], schedule[Start Date],"&lt;="&amp;day_cash[[#This Row],[Date]]-$I$2, schedule[Finish Date],"&gt;="&amp;day_cash[[#This Row],[Date]]-$I$2)</f>
        <v>0</v>
      </c>
      <c r="J39" s="3">
        <f>SUM(day_cash[[#Headers],[Labor Cost]]:day_cash[[#This Row],[Labor Cost]])</f>
        <v>52362.592288761261</v>
      </c>
      <c r="K39" s="3">
        <f>SUM(day_cash[[#Headers],[Material Cost]]:day_cash[[#This Row],[Material Cost]])</f>
        <v>0</v>
      </c>
      <c r="L39" s="3">
        <f>SUM(day_cash[[#Headers],[Equipment Cost]]:day_cash[[#This Row],[Equipment Cost]])</f>
        <v>943.39622641509436</v>
      </c>
      <c r="M39" s="3">
        <f>SUM(day_cash[[#Headers],[Sub Cost]]:day_cash[[#This Row],[Sub Cost]])</f>
        <v>0</v>
      </c>
      <c r="N39" s="3">
        <f>SUM(day_cash[[#Headers],[Other Cost]]:day_cash[[#This Row],[Other Cost]])</f>
        <v>628.93081761006295</v>
      </c>
      <c r="O39" s="3">
        <f>SUM(day_cash[[#This Row],[Cumulative Labor]:[Cumulative Other]])</f>
        <v>53934.91933278642</v>
      </c>
      <c r="P39" s="3">
        <f>SUM(day_cash[[#Headers],[Revenue]]:day_cash[[#This Row],[Revenue]])</f>
        <v>0</v>
      </c>
    </row>
    <row r="40" spans="2:16" x14ac:dyDescent="0.45">
      <c r="B40" s="1">
        <v>46423</v>
      </c>
      <c r="C40" s="4">
        <f>SUMIFS(schedule[Labor CPP], schedule[Start Date],"&lt;="&amp;day_cash[[#This Row],[Date]], schedule[Finish Date],"&gt;="&amp;day_cash[[#This Row],[Date]])</f>
        <v>1867.3092698933551</v>
      </c>
      <c r="D40" s="4">
        <f>SUMIFS(schedule[Material CPP], schedule[Start Date],"&lt;="&amp;day_cash[[#This Row],[Date]]-$D$2, schedule[Finish Date],"&gt;="&amp;day_cash[[#This Row],[Date]]-$D$2)</f>
        <v>0</v>
      </c>
      <c r="E40" s="4">
        <f>SUMIFS(schedule[Equipment CPP], schedule[Start Date],"&lt;="&amp;day_cash[[#This Row],[Date]]-$E$2, schedule[Finish Date],"&gt;="&amp;day_cash[[#This Row],[Date]]-$E$2)</f>
        <v>471.69811320754718</v>
      </c>
      <c r="F40" s="4">
        <f>SUMIFS(schedule[Sub CPP], schedule[Start Date],"&lt;="&amp;day_cash[[#This Row],[Date]]-$F$2, schedule[Finish Date],"&gt;="&amp;day_cash[[#This Row],[Date]]-$F$2)</f>
        <v>0</v>
      </c>
      <c r="G40" s="3">
        <f>SUMIFS(schedule[Other CPP], schedule[Start Date],"&lt;="&amp;day_cash[[#This Row],[Date]]-$G$2, schedule[Finish Date],"&gt;="&amp;day_cash[[#This Row],[Date]]-$G$2)</f>
        <v>314.46540880503147</v>
      </c>
      <c r="H40" s="3">
        <f>SUM(day_cash[[#This Row],[Labor Cost]:[Other Cost]])</f>
        <v>2653.4727919059337</v>
      </c>
      <c r="I40" s="3">
        <f>SUMIFS(schedule[Revenue per Day], schedule[Start Date],"&lt;="&amp;day_cash[[#This Row],[Date]]-$I$2, schedule[Finish Date],"&gt;="&amp;day_cash[[#This Row],[Date]]-$I$2)</f>
        <v>0</v>
      </c>
      <c r="J40" s="3">
        <f>SUM(day_cash[[#Headers],[Labor Cost]]:day_cash[[#This Row],[Labor Cost]])</f>
        <v>54229.901558654616</v>
      </c>
      <c r="K40" s="3">
        <f>SUM(day_cash[[#Headers],[Material Cost]]:day_cash[[#This Row],[Material Cost]])</f>
        <v>0</v>
      </c>
      <c r="L40" s="3">
        <f>SUM(day_cash[[#Headers],[Equipment Cost]]:day_cash[[#This Row],[Equipment Cost]])</f>
        <v>1415.0943396226417</v>
      </c>
      <c r="M40" s="3">
        <f>SUM(day_cash[[#Headers],[Sub Cost]]:day_cash[[#This Row],[Sub Cost]])</f>
        <v>0</v>
      </c>
      <c r="N40" s="3">
        <f>SUM(day_cash[[#Headers],[Other Cost]]:day_cash[[#This Row],[Other Cost]])</f>
        <v>943.39622641509436</v>
      </c>
      <c r="O40" s="3">
        <f>SUM(day_cash[[#This Row],[Cumulative Labor]:[Cumulative Other]])</f>
        <v>56588.392124692356</v>
      </c>
      <c r="P40" s="3">
        <f>SUM(day_cash[[#Headers],[Revenue]]:day_cash[[#This Row],[Revenue]])</f>
        <v>0</v>
      </c>
    </row>
    <row r="41" spans="2:16" x14ac:dyDescent="0.45">
      <c r="B41" s="1">
        <v>46424</v>
      </c>
      <c r="C41" s="4">
        <f>SUMIFS(schedule[Labor CPP], schedule[Start Date],"&lt;="&amp;day_cash[[#This Row],[Date]], schedule[Finish Date],"&gt;="&amp;day_cash[[#This Row],[Date]])</f>
        <v>1867.3092698933551</v>
      </c>
      <c r="D41" s="4">
        <f>SUMIFS(schedule[Material CPP], schedule[Start Date],"&lt;="&amp;day_cash[[#This Row],[Date]]-$D$2, schedule[Finish Date],"&gt;="&amp;day_cash[[#This Row],[Date]]-$D$2)</f>
        <v>0</v>
      </c>
      <c r="E41" s="4">
        <f>SUMIFS(schedule[Equipment CPP], schedule[Start Date],"&lt;="&amp;day_cash[[#This Row],[Date]]-$E$2, schedule[Finish Date],"&gt;="&amp;day_cash[[#This Row],[Date]]-$E$2)</f>
        <v>471.69811320754718</v>
      </c>
      <c r="F41" s="4">
        <f>SUMIFS(schedule[Sub CPP], schedule[Start Date],"&lt;="&amp;day_cash[[#This Row],[Date]]-$F$2, schedule[Finish Date],"&gt;="&amp;day_cash[[#This Row],[Date]]-$F$2)</f>
        <v>0</v>
      </c>
      <c r="G41" s="3">
        <f>SUMIFS(schedule[Other CPP], schedule[Start Date],"&lt;="&amp;day_cash[[#This Row],[Date]]-$G$2, schedule[Finish Date],"&gt;="&amp;day_cash[[#This Row],[Date]]-$G$2)</f>
        <v>314.46540880503147</v>
      </c>
      <c r="H41" s="3">
        <f>SUM(day_cash[[#This Row],[Labor Cost]:[Other Cost]])</f>
        <v>2653.4727919059337</v>
      </c>
      <c r="I41" s="3">
        <f>SUMIFS(schedule[Revenue per Day], schedule[Start Date],"&lt;="&amp;day_cash[[#This Row],[Date]]-$I$2, schedule[Finish Date],"&gt;="&amp;day_cash[[#This Row],[Date]]-$I$2)</f>
        <v>0</v>
      </c>
      <c r="J41" s="3">
        <f>SUM(day_cash[[#Headers],[Labor Cost]]:day_cash[[#This Row],[Labor Cost]])</f>
        <v>56097.21082854797</v>
      </c>
      <c r="K41" s="3">
        <f>SUM(day_cash[[#Headers],[Material Cost]]:day_cash[[#This Row],[Material Cost]])</f>
        <v>0</v>
      </c>
      <c r="L41" s="3">
        <f>SUM(day_cash[[#Headers],[Equipment Cost]]:day_cash[[#This Row],[Equipment Cost]])</f>
        <v>1886.7924528301887</v>
      </c>
      <c r="M41" s="3">
        <f>SUM(day_cash[[#Headers],[Sub Cost]]:day_cash[[#This Row],[Sub Cost]])</f>
        <v>0</v>
      </c>
      <c r="N41" s="3">
        <f>SUM(day_cash[[#Headers],[Other Cost]]:day_cash[[#This Row],[Other Cost]])</f>
        <v>1257.8616352201259</v>
      </c>
      <c r="O41" s="3">
        <f>SUM(day_cash[[#This Row],[Cumulative Labor]:[Cumulative Other]])</f>
        <v>59241.864916598286</v>
      </c>
      <c r="P41" s="3">
        <f>SUM(day_cash[[#Headers],[Revenue]]:day_cash[[#This Row],[Revenue]])</f>
        <v>0</v>
      </c>
    </row>
    <row r="42" spans="2:16" x14ac:dyDescent="0.45">
      <c r="B42" s="1">
        <v>46425</v>
      </c>
      <c r="C42" s="4">
        <f>SUMIFS(schedule[Labor CPP], schedule[Start Date],"&lt;="&amp;day_cash[[#This Row],[Date]], schedule[Finish Date],"&gt;="&amp;day_cash[[#This Row],[Date]])</f>
        <v>1867.3092698933551</v>
      </c>
      <c r="D42" s="4">
        <f>SUMIFS(schedule[Material CPP], schedule[Start Date],"&lt;="&amp;day_cash[[#This Row],[Date]]-$D$2, schedule[Finish Date],"&gt;="&amp;day_cash[[#This Row],[Date]]-$D$2)</f>
        <v>0</v>
      </c>
      <c r="E42" s="4">
        <f>SUMIFS(schedule[Equipment CPP], schedule[Start Date],"&lt;="&amp;day_cash[[#This Row],[Date]]-$E$2, schedule[Finish Date],"&gt;="&amp;day_cash[[#This Row],[Date]]-$E$2)</f>
        <v>471.69811320754718</v>
      </c>
      <c r="F42" s="4">
        <f>SUMIFS(schedule[Sub CPP], schedule[Start Date],"&lt;="&amp;day_cash[[#This Row],[Date]]-$F$2, schedule[Finish Date],"&gt;="&amp;day_cash[[#This Row],[Date]]-$F$2)</f>
        <v>0</v>
      </c>
      <c r="G42" s="3">
        <f>SUMIFS(schedule[Other CPP], schedule[Start Date],"&lt;="&amp;day_cash[[#This Row],[Date]]-$G$2, schedule[Finish Date],"&gt;="&amp;day_cash[[#This Row],[Date]]-$G$2)</f>
        <v>314.46540880503147</v>
      </c>
      <c r="H42" s="3">
        <f>SUM(day_cash[[#This Row],[Labor Cost]:[Other Cost]])</f>
        <v>2653.4727919059337</v>
      </c>
      <c r="I42" s="3">
        <f>SUMIFS(schedule[Revenue per Day], schedule[Start Date],"&lt;="&amp;day_cash[[#This Row],[Date]]-$I$2, schedule[Finish Date],"&gt;="&amp;day_cash[[#This Row],[Date]]-$I$2)</f>
        <v>0</v>
      </c>
      <c r="J42" s="3">
        <f>SUM(day_cash[[#Headers],[Labor Cost]]:day_cash[[#This Row],[Labor Cost]])</f>
        <v>57964.520098441324</v>
      </c>
      <c r="K42" s="3">
        <f>SUM(day_cash[[#Headers],[Material Cost]]:day_cash[[#This Row],[Material Cost]])</f>
        <v>0</v>
      </c>
      <c r="L42" s="3">
        <f>SUM(day_cash[[#Headers],[Equipment Cost]]:day_cash[[#This Row],[Equipment Cost]])</f>
        <v>2358.4905660377358</v>
      </c>
      <c r="M42" s="3">
        <f>SUM(day_cash[[#Headers],[Sub Cost]]:day_cash[[#This Row],[Sub Cost]])</f>
        <v>0</v>
      </c>
      <c r="N42" s="3">
        <f>SUM(day_cash[[#Headers],[Other Cost]]:day_cash[[#This Row],[Other Cost]])</f>
        <v>1572.3270440251574</v>
      </c>
      <c r="O42" s="3">
        <f>SUM(day_cash[[#This Row],[Cumulative Labor]:[Cumulative Other]])</f>
        <v>61895.337708504216</v>
      </c>
      <c r="P42" s="3">
        <f>SUM(day_cash[[#Headers],[Revenue]]:day_cash[[#This Row],[Revenue]])</f>
        <v>0</v>
      </c>
    </row>
    <row r="43" spans="2:16" x14ac:dyDescent="0.45">
      <c r="B43" s="1">
        <v>46426</v>
      </c>
      <c r="C43" s="4">
        <f>SUMIFS(schedule[Labor CPP], schedule[Start Date],"&lt;="&amp;day_cash[[#This Row],[Date]], schedule[Finish Date],"&gt;="&amp;day_cash[[#This Row],[Date]])</f>
        <v>1867.3092698933551</v>
      </c>
      <c r="D43" s="4">
        <f>SUMIFS(schedule[Material CPP], schedule[Start Date],"&lt;="&amp;day_cash[[#This Row],[Date]]-$D$2, schedule[Finish Date],"&gt;="&amp;day_cash[[#This Row],[Date]]-$D$2)</f>
        <v>0</v>
      </c>
      <c r="E43" s="4">
        <f>SUMIFS(schedule[Equipment CPP], schedule[Start Date],"&lt;="&amp;day_cash[[#This Row],[Date]]-$E$2, schedule[Finish Date],"&gt;="&amp;day_cash[[#This Row],[Date]]-$E$2)</f>
        <v>471.69811320754718</v>
      </c>
      <c r="F43" s="4">
        <f>SUMIFS(schedule[Sub CPP], schedule[Start Date],"&lt;="&amp;day_cash[[#This Row],[Date]]-$F$2, schedule[Finish Date],"&gt;="&amp;day_cash[[#This Row],[Date]]-$F$2)</f>
        <v>0</v>
      </c>
      <c r="G43" s="3">
        <f>SUMIFS(schedule[Other CPP], schedule[Start Date],"&lt;="&amp;day_cash[[#This Row],[Date]]-$G$2, schedule[Finish Date],"&gt;="&amp;day_cash[[#This Row],[Date]]-$G$2)</f>
        <v>314.46540880503147</v>
      </c>
      <c r="H43" s="3">
        <f>SUM(day_cash[[#This Row],[Labor Cost]:[Other Cost]])</f>
        <v>2653.4727919059337</v>
      </c>
      <c r="I43" s="3">
        <f>SUMIFS(schedule[Revenue per Day], schedule[Start Date],"&lt;="&amp;day_cash[[#This Row],[Date]]-$I$2, schedule[Finish Date],"&gt;="&amp;day_cash[[#This Row],[Date]]-$I$2)</f>
        <v>0</v>
      </c>
      <c r="J43" s="3">
        <f>SUM(day_cash[[#Headers],[Labor Cost]]:day_cash[[#This Row],[Labor Cost]])</f>
        <v>59831.829368334678</v>
      </c>
      <c r="K43" s="3">
        <f>SUM(day_cash[[#Headers],[Material Cost]]:day_cash[[#This Row],[Material Cost]])</f>
        <v>0</v>
      </c>
      <c r="L43" s="3">
        <f>SUM(day_cash[[#Headers],[Equipment Cost]]:day_cash[[#This Row],[Equipment Cost]])</f>
        <v>2830.1886792452829</v>
      </c>
      <c r="M43" s="3">
        <f>SUM(day_cash[[#Headers],[Sub Cost]]:day_cash[[#This Row],[Sub Cost]])</f>
        <v>0</v>
      </c>
      <c r="N43" s="3">
        <f>SUM(day_cash[[#Headers],[Other Cost]]:day_cash[[#This Row],[Other Cost]])</f>
        <v>1886.7924528301889</v>
      </c>
      <c r="O43" s="3">
        <f>SUM(day_cash[[#This Row],[Cumulative Labor]:[Cumulative Other]])</f>
        <v>64548.810500410153</v>
      </c>
      <c r="P43" s="3">
        <f>SUM(day_cash[[#Headers],[Revenue]]:day_cash[[#This Row],[Revenue]])</f>
        <v>0</v>
      </c>
    </row>
    <row r="44" spans="2:16" x14ac:dyDescent="0.45">
      <c r="B44" s="1">
        <v>46427</v>
      </c>
      <c r="C44" s="4">
        <f>SUMIFS(schedule[Labor CPP], schedule[Start Date],"&lt;="&amp;day_cash[[#This Row],[Date]], schedule[Finish Date],"&gt;="&amp;day_cash[[#This Row],[Date]])</f>
        <v>1867.3092698933551</v>
      </c>
      <c r="D44" s="4">
        <f>SUMIFS(schedule[Material CPP], schedule[Start Date],"&lt;="&amp;day_cash[[#This Row],[Date]]-$D$2, schedule[Finish Date],"&gt;="&amp;day_cash[[#This Row],[Date]]-$D$2)</f>
        <v>0</v>
      </c>
      <c r="E44" s="4">
        <f>SUMIFS(schedule[Equipment CPP], schedule[Start Date],"&lt;="&amp;day_cash[[#This Row],[Date]]-$E$2, schedule[Finish Date],"&gt;="&amp;day_cash[[#This Row],[Date]]-$E$2)</f>
        <v>471.69811320754718</v>
      </c>
      <c r="F44" s="4">
        <f>SUMIFS(schedule[Sub CPP], schedule[Start Date],"&lt;="&amp;day_cash[[#This Row],[Date]]-$F$2, schedule[Finish Date],"&gt;="&amp;day_cash[[#This Row],[Date]]-$F$2)</f>
        <v>0</v>
      </c>
      <c r="G44" s="3">
        <f>SUMIFS(schedule[Other CPP], schedule[Start Date],"&lt;="&amp;day_cash[[#This Row],[Date]]-$G$2, schedule[Finish Date],"&gt;="&amp;day_cash[[#This Row],[Date]]-$G$2)</f>
        <v>314.46540880503147</v>
      </c>
      <c r="H44" s="3">
        <f>SUM(day_cash[[#This Row],[Labor Cost]:[Other Cost]])</f>
        <v>2653.4727919059337</v>
      </c>
      <c r="I44" s="3">
        <f>SUMIFS(schedule[Revenue per Day], schedule[Start Date],"&lt;="&amp;day_cash[[#This Row],[Date]]-$I$2, schedule[Finish Date],"&gt;="&amp;day_cash[[#This Row],[Date]]-$I$2)</f>
        <v>0</v>
      </c>
      <c r="J44" s="3">
        <f>SUM(day_cash[[#Headers],[Labor Cost]]:day_cash[[#This Row],[Labor Cost]])</f>
        <v>61699.138638228033</v>
      </c>
      <c r="K44" s="3">
        <f>SUM(day_cash[[#Headers],[Material Cost]]:day_cash[[#This Row],[Material Cost]])</f>
        <v>0</v>
      </c>
      <c r="L44" s="3">
        <f>SUM(day_cash[[#Headers],[Equipment Cost]]:day_cash[[#This Row],[Equipment Cost]])</f>
        <v>3301.8867924528299</v>
      </c>
      <c r="M44" s="3">
        <f>SUM(day_cash[[#Headers],[Sub Cost]]:day_cash[[#This Row],[Sub Cost]])</f>
        <v>0</v>
      </c>
      <c r="N44" s="3">
        <f>SUM(day_cash[[#Headers],[Other Cost]]:day_cash[[#This Row],[Other Cost]])</f>
        <v>2201.2578616352203</v>
      </c>
      <c r="O44" s="3">
        <f>SUM(day_cash[[#This Row],[Cumulative Labor]:[Cumulative Other]])</f>
        <v>67202.28329231609</v>
      </c>
      <c r="P44" s="3">
        <f>SUM(day_cash[[#Headers],[Revenue]]:day_cash[[#This Row],[Revenue]])</f>
        <v>0</v>
      </c>
    </row>
    <row r="45" spans="2:16" x14ac:dyDescent="0.45">
      <c r="B45" s="1">
        <v>46428</v>
      </c>
      <c r="C45" s="4">
        <f>SUMIFS(schedule[Labor CPP], schedule[Start Date],"&lt;="&amp;day_cash[[#This Row],[Date]], schedule[Finish Date],"&gt;="&amp;day_cash[[#This Row],[Date]])</f>
        <v>1867.3092698933551</v>
      </c>
      <c r="D45" s="4">
        <f>SUMIFS(schedule[Material CPP], schedule[Start Date],"&lt;="&amp;day_cash[[#This Row],[Date]]-$D$2, schedule[Finish Date],"&gt;="&amp;day_cash[[#This Row],[Date]]-$D$2)</f>
        <v>0</v>
      </c>
      <c r="E45" s="4">
        <f>SUMIFS(schedule[Equipment CPP], schedule[Start Date],"&lt;="&amp;day_cash[[#This Row],[Date]]-$E$2, schedule[Finish Date],"&gt;="&amp;day_cash[[#This Row],[Date]]-$E$2)</f>
        <v>471.69811320754718</v>
      </c>
      <c r="F45" s="4">
        <f>SUMIFS(schedule[Sub CPP], schedule[Start Date],"&lt;="&amp;day_cash[[#This Row],[Date]]-$F$2, schedule[Finish Date],"&gt;="&amp;day_cash[[#This Row],[Date]]-$F$2)</f>
        <v>0</v>
      </c>
      <c r="G45" s="3">
        <f>SUMIFS(schedule[Other CPP], schedule[Start Date],"&lt;="&amp;day_cash[[#This Row],[Date]]-$G$2, schedule[Finish Date],"&gt;="&amp;day_cash[[#This Row],[Date]]-$G$2)</f>
        <v>314.46540880503147</v>
      </c>
      <c r="H45" s="3">
        <f>SUM(day_cash[[#This Row],[Labor Cost]:[Other Cost]])</f>
        <v>2653.4727919059337</v>
      </c>
      <c r="I45" s="3">
        <f>SUMIFS(schedule[Revenue per Day], schedule[Start Date],"&lt;="&amp;day_cash[[#This Row],[Date]]-$I$2, schedule[Finish Date],"&gt;="&amp;day_cash[[#This Row],[Date]]-$I$2)</f>
        <v>0</v>
      </c>
      <c r="J45" s="3">
        <f>SUM(day_cash[[#Headers],[Labor Cost]]:day_cash[[#This Row],[Labor Cost]])</f>
        <v>63566.447908121387</v>
      </c>
      <c r="K45" s="3">
        <f>SUM(day_cash[[#Headers],[Material Cost]]:day_cash[[#This Row],[Material Cost]])</f>
        <v>0</v>
      </c>
      <c r="L45" s="3">
        <f>SUM(day_cash[[#Headers],[Equipment Cost]]:day_cash[[#This Row],[Equipment Cost]])</f>
        <v>3773.584905660377</v>
      </c>
      <c r="M45" s="3">
        <f>SUM(day_cash[[#Headers],[Sub Cost]]:day_cash[[#This Row],[Sub Cost]])</f>
        <v>0</v>
      </c>
      <c r="N45" s="3">
        <f>SUM(day_cash[[#Headers],[Other Cost]]:day_cash[[#This Row],[Other Cost]])</f>
        <v>2515.7232704402518</v>
      </c>
      <c r="O45" s="3">
        <f>SUM(day_cash[[#This Row],[Cumulative Labor]:[Cumulative Other]])</f>
        <v>69855.756084222026</v>
      </c>
      <c r="P45" s="3">
        <f>SUM(day_cash[[#Headers],[Revenue]]:day_cash[[#This Row],[Revenue]])</f>
        <v>0</v>
      </c>
    </row>
    <row r="46" spans="2:16" x14ac:dyDescent="0.45">
      <c r="B46" s="1">
        <v>46429</v>
      </c>
      <c r="C46" s="4">
        <f>SUMIFS(schedule[Labor CPP], schedule[Start Date],"&lt;="&amp;day_cash[[#This Row],[Date]], schedule[Finish Date],"&gt;="&amp;day_cash[[#This Row],[Date]])</f>
        <v>1867.3092698933551</v>
      </c>
      <c r="D46" s="4">
        <f>SUMIFS(schedule[Material CPP], schedule[Start Date],"&lt;="&amp;day_cash[[#This Row],[Date]]-$D$2, schedule[Finish Date],"&gt;="&amp;day_cash[[#This Row],[Date]]-$D$2)</f>
        <v>326.08695652173913</v>
      </c>
      <c r="E46" s="4">
        <f>SUMIFS(schedule[Equipment CPP], schedule[Start Date],"&lt;="&amp;day_cash[[#This Row],[Date]]-$E$2, schedule[Finish Date],"&gt;="&amp;day_cash[[#This Row],[Date]]-$E$2)</f>
        <v>471.69811320754718</v>
      </c>
      <c r="F46" s="4">
        <f>SUMIFS(schedule[Sub CPP], schedule[Start Date],"&lt;="&amp;day_cash[[#This Row],[Date]]-$F$2, schedule[Finish Date],"&gt;="&amp;day_cash[[#This Row],[Date]]-$F$2)</f>
        <v>0</v>
      </c>
      <c r="G46" s="3">
        <f>SUMIFS(schedule[Other CPP], schedule[Start Date],"&lt;="&amp;day_cash[[#This Row],[Date]]-$G$2, schedule[Finish Date],"&gt;="&amp;day_cash[[#This Row],[Date]]-$G$2)</f>
        <v>499.24801750068366</v>
      </c>
      <c r="H46" s="3">
        <f>SUM(day_cash[[#This Row],[Labor Cost]:[Other Cost]])</f>
        <v>3164.3423571233247</v>
      </c>
      <c r="I46" s="3">
        <f>SUMIFS(schedule[Revenue per Day], schedule[Start Date],"&lt;="&amp;day_cash[[#This Row],[Date]]-$I$2, schedule[Finish Date],"&gt;="&amp;day_cash[[#This Row],[Date]]-$I$2)</f>
        <v>0</v>
      </c>
      <c r="J46" s="3">
        <f>SUM(day_cash[[#Headers],[Labor Cost]]:day_cash[[#This Row],[Labor Cost]])</f>
        <v>65433.757178014741</v>
      </c>
      <c r="K46" s="3">
        <f>SUM(day_cash[[#Headers],[Material Cost]]:day_cash[[#This Row],[Material Cost]])</f>
        <v>326.08695652173913</v>
      </c>
      <c r="L46" s="3">
        <f>SUM(day_cash[[#Headers],[Equipment Cost]]:day_cash[[#This Row],[Equipment Cost]])</f>
        <v>4245.2830188679245</v>
      </c>
      <c r="M46" s="3">
        <f>SUM(day_cash[[#Headers],[Sub Cost]]:day_cash[[#This Row],[Sub Cost]])</f>
        <v>0</v>
      </c>
      <c r="N46" s="3">
        <f>SUM(day_cash[[#Headers],[Other Cost]]:day_cash[[#This Row],[Other Cost]])</f>
        <v>3014.9712879409353</v>
      </c>
      <c r="O46" s="3">
        <f>SUM(day_cash[[#This Row],[Cumulative Labor]:[Cumulative Other]])</f>
        <v>73020.098441345341</v>
      </c>
      <c r="P46" s="3">
        <f>SUM(day_cash[[#Headers],[Revenue]]:day_cash[[#This Row],[Revenue]])</f>
        <v>0</v>
      </c>
    </row>
    <row r="47" spans="2:16" x14ac:dyDescent="0.45">
      <c r="B47" s="1">
        <v>46430</v>
      </c>
      <c r="C47" s="4">
        <f>SUMIFS(schedule[Labor CPP], schedule[Start Date],"&lt;="&amp;day_cash[[#This Row],[Date]], schedule[Finish Date],"&gt;="&amp;day_cash[[#This Row],[Date]])</f>
        <v>1867.3092698933551</v>
      </c>
      <c r="D47" s="4">
        <f>SUMIFS(schedule[Material CPP], schedule[Start Date],"&lt;="&amp;day_cash[[#This Row],[Date]]-$D$2, schedule[Finish Date],"&gt;="&amp;day_cash[[#This Row],[Date]]-$D$2)</f>
        <v>326.08695652173913</v>
      </c>
      <c r="E47" s="4">
        <f>SUMIFS(schedule[Equipment CPP], schedule[Start Date],"&lt;="&amp;day_cash[[#This Row],[Date]]-$E$2, schedule[Finish Date],"&gt;="&amp;day_cash[[#This Row],[Date]]-$E$2)</f>
        <v>471.69811320754718</v>
      </c>
      <c r="F47" s="4">
        <f>SUMIFS(schedule[Sub CPP], schedule[Start Date],"&lt;="&amp;day_cash[[#This Row],[Date]]-$F$2, schedule[Finish Date],"&gt;="&amp;day_cash[[#This Row],[Date]]-$F$2)</f>
        <v>0</v>
      </c>
      <c r="G47" s="3">
        <f>SUMIFS(schedule[Other CPP], schedule[Start Date],"&lt;="&amp;day_cash[[#This Row],[Date]]-$G$2, schedule[Finish Date],"&gt;="&amp;day_cash[[#This Row],[Date]]-$G$2)</f>
        <v>499.24801750068366</v>
      </c>
      <c r="H47" s="3">
        <f>SUM(day_cash[[#This Row],[Labor Cost]:[Other Cost]])</f>
        <v>3164.3423571233247</v>
      </c>
      <c r="I47" s="3">
        <f>SUMIFS(schedule[Revenue per Day], schedule[Start Date],"&lt;="&amp;day_cash[[#This Row],[Date]]-$I$2, schedule[Finish Date],"&gt;="&amp;day_cash[[#This Row],[Date]]-$I$2)</f>
        <v>0</v>
      </c>
      <c r="J47" s="3">
        <f>SUM(day_cash[[#Headers],[Labor Cost]]:day_cash[[#This Row],[Labor Cost]])</f>
        <v>67301.066447908102</v>
      </c>
      <c r="K47" s="3">
        <f>SUM(day_cash[[#Headers],[Material Cost]]:day_cash[[#This Row],[Material Cost]])</f>
        <v>652.17391304347825</v>
      </c>
      <c r="L47" s="3">
        <f>SUM(day_cash[[#Headers],[Equipment Cost]]:day_cash[[#This Row],[Equipment Cost]])</f>
        <v>4716.9811320754716</v>
      </c>
      <c r="M47" s="3">
        <f>SUM(day_cash[[#Headers],[Sub Cost]]:day_cash[[#This Row],[Sub Cost]])</f>
        <v>0</v>
      </c>
      <c r="N47" s="3">
        <f>SUM(day_cash[[#Headers],[Other Cost]]:day_cash[[#This Row],[Other Cost]])</f>
        <v>3514.2193054416189</v>
      </c>
      <c r="O47" s="3">
        <f>SUM(day_cash[[#This Row],[Cumulative Labor]:[Cumulative Other]])</f>
        <v>76184.440798468655</v>
      </c>
      <c r="P47" s="3">
        <f>SUM(day_cash[[#Headers],[Revenue]]:day_cash[[#This Row],[Revenue]])</f>
        <v>0</v>
      </c>
    </row>
    <row r="48" spans="2:16" x14ac:dyDescent="0.45">
      <c r="B48" s="1">
        <v>46431</v>
      </c>
      <c r="C48" s="4">
        <f>SUMIFS(schedule[Labor CPP], schedule[Start Date],"&lt;="&amp;day_cash[[#This Row],[Date]], schedule[Finish Date],"&gt;="&amp;day_cash[[#This Row],[Date]])</f>
        <v>1867.3092698933551</v>
      </c>
      <c r="D48" s="4">
        <f>SUMIFS(schedule[Material CPP], schedule[Start Date],"&lt;="&amp;day_cash[[#This Row],[Date]]-$D$2, schedule[Finish Date],"&gt;="&amp;day_cash[[#This Row],[Date]]-$D$2)</f>
        <v>326.08695652173913</v>
      </c>
      <c r="E48" s="4">
        <f>SUMIFS(schedule[Equipment CPP], schedule[Start Date],"&lt;="&amp;day_cash[[#This Row],[Date]]-$E$2, schedule[Finish Date],"&gt;="&amp;day_cash[[#This Row],[Date]]-$E$2)</f>
        <v>471.69811320754718</v>
      </c>
      <c r="F48" s="4">
        <f>SUMIFS(schedule[Sub CPP], schedule[Start Date],"&lt;="&amp;day_cash[[#This Row],[Date]]-$F$2, schedule[Finish Date],"&gt;="&amp;day_cash[[#This Row],[Date]]-$F$2)</f>
        <v>0</v>
      </c>
      <c r="G48" s="3">
        <f>SUMIFS(schedule[Other CPP], schedule[Start Date],"&lt;="&amp;day_cash[[#This Row],[Date]]-$G$2, schedule[Finish Date],"&gt;="&amp;day_cash[[#This Row],[Date]]-$G$2)</f>
        <v>499.24801750068366</v>
      </c>
      <c r="H48" s="3">
        <f>SUM(day_cash[[#This Row],[Labor Cost]:[Other Cost]])</f>
        <v>3164.3423571233247</v>
      </c>
      <c r="I48" s="3">
        <f>SUMIFS(schedule[Revenue per Day], schedule[Start Date],"&lt;="&amp;day_cash[[#This Row],[Date]]-$I$2, schedule[Finish Date],"&gt;="&amp;day_cash[[#This Row],[Date]]-$I$2)</f>
        <v>0</v>
      </c>
      <c r="J48" s="3">
        <f>SUM(day_cash[[#Headers],[Labor Cost]]:day_cash[[#This Row],[Labor Cost]])</f>
        <v>69168.375717801464</v>
      </c>
      <c r="K48" s="3">
        <f>SUM(day_cash[[#Headers],[Material Cost]]:day_cash[[#This Row],[Material Cost]])</f>
        <v>978.26086956521738</v>
      </c>
      <c r="L48" s="3">
        <f>SUM(day_cash[[#Headers],[Equipment Cost]]:day_cash[[#This Row],[Equipment Cost]])</f>
        <v>5188.6792452830186</v>
      </c>
      <c r="M48" s="3">
        <f>SUM(day_cash[[#Headers],[Sub Cost]]:day_cash[[#This Row],[Sub Cost]])</f>
        <v>0</v>
      </c>
      <c r="N48" s="3">
        <f>SUM(day_cash[[#Headers],[Other Cost]]:day_cash[[#This Row],[Other Cost]])</f>
        <v>4013.4673229423024</v>
      </c>
      <c r="O48" s="3">
        <f>SUM(day_cash[[#This Row],[Cumulative Labor]:[Cumulative Other]])</f>
        <v>79348.783155591998</v>
      </c>
      <c r="P48" s="3">
        <f>SUM(day_cash[[#Headers],[Revenue]]:day_cash[[#This Row],[Revenue]])</f>
        <v>0</v>
      </c>
    </row>
    <row r="49" spans="2:16" x14ac:dyDescent="0.45">
      <c r="B49" s="1">
        <v>46432</v>
      </c>
      <c r="C49" s="4">
        <f>SUMIFS(schedule[Labor CPP], schedule[Start Date],"&lt;="&amp;day_cash[[#This Row],[Date]], schedule[Finish Date],"&gt;="&amp;day_cash[[#This Row],[Date]])</f>
        <v>1867.3092698933551</v>
      </c>
      <c r="D49" s="4">
        <f>SUMIFS(schedule[Material CPP], schedule[Start Date],"&lt;="&amp;day_cash[[#This Row],[Date]]-$D$2, schedule[Finish Date],"&gt;="&amp;day_cash[[#This Row],[Date]]-$D$2)</f>
        <v>326.08695652173913</v>
      </c>
      <c r="E49" s="4">
        <f>SUMIFS(schedule[Equipment CPP], schedule[Start Date],"&lt;="&amp;day_cash[[#This Row],[Date]]-$E$2, schedule[Finish Date],"&gt;="&amp;day_cash[[#This Row],[Date]]-$E$2)</f>
        <v>471.69811320754718</v>
      </c>
      <c r="F49" s="4">
        <f>SUMIFS(schedule[Sub CPP], schedule[Start Date],"&lt;="&amp;day_cash[[#This Row],[Date]]-$F$2, schedule[Finish Date],"&gt;="&amp;day_cash[[#This Row],[Date]]-$F$2)</f>
        <v>0</v>
      </c>
      <c r="G49" s="3">
        <f>SUMIFS(schedule[Other CPP], schedule[Start Date],"&lt;="&amp;day_cash[[#This Row],[Date]]-$G$2, schedule[Finish Date],"&gt;="&amp;day_cash[[#This Row],[Date]]-$G$2)</f>
        <v>499.24801750068366</v>
      </c>
      <c r="H49" s="3">
        <f>SUM(day_cash[[#This Row],[Labor Cost]:[Other Cost]])</f>
        <v>3164.3423571233247</v>
      </c>
      <c r="I49" s="3">
        <f>SUMIFS(schedule[Revenue per Day], schedule[Start Date],"&lt;="&amp;day_cash[[#This Row],[Date]]-$I$2, schedule[Finish Date],"&gt;="&amp;day_cash[[#This Row],[Date]]-$I$2)</f>
        <v>0</v>
      </c>
      <c r="J49" s="3">
        <f>SUM(day_cash[[#Headers],[Labor Cost]]:day_cash[[#This Row],[Labor Cost]])</f>
        <v>71035.684987694825</v>
      </c>
      <c r="K49" s="3">
        <f>SUM(day_cash[[#Headers],[Material Cost]]:day_cash[[#This Row],[Material Cost]])</f>
        <v>1304.3478260869565</v>
      </c>
      <c r="L49" s="3">
        <f>SUM(day_cash[[#Headers],[Equipment Cost]]:day_cash[[#This Row],[Equipment Cost]])</f>
        <v>5660.3773584905657</v>
      </c>
      <c r="M49" s="3">
        <f>SUM(day_cash[[#Headers],[Sub Cost]]:day_cash[[#This Row],[Sub Cost]])</f>
        <v>0</v>
      </c>
      <c r="N49" s="3">
        <f>SUM(day_cash[[#Headers],[Other Cost]]:day_cash[[#This Row],[Other Cost]])</f>
        <v>4512.7153404429864</v>
      </c>
      <c r="O49" s="3">
        <f>SUM(day_cash[[#This Row],[Cumulative Labor]:[Cumulative Other]])</f>
        <v>82513.125512715342</v>
      </c>
      <c r="P49" s="3">
        <f>SUM(day_cash[[#Headers],[Revenue]]:day_cash[[#This Row],[Revenue]])</f>
        <v>0</v>
      </c>
    </row>
    <row r="50" spans="2:16" x14ac:dyDescent="0.45">
      <c r="B50" s="1">
        <v>46433</v>
      </c>
      <c r="C50" s="4">
        <f>SUMIFS(schedule[Labor CPP], schedule[Start Date],"&lt;="&amp;day_cash[[#This Row],[Date]], schedule[Finish Date],"&gt;="&amp;day_cash[[#This Row],[Date]])</f>
        <v>3840.993480419671</v>
      </c>
      <c r="D50" s="4">
        <f>SUMIFS(schedule[Material CPP], schedule[Start Date],"&lt;="&amp;day_cash[[#This Row],[Date]]-$D$2, schedule[Finish Date],"&gt;="&amp;day_cash[[#This Row],[Date]]-$D$2)</f>
        <v>326.08695652173913</v>
      </c>
      <c r="E50" s="4">
        <f>SUMIFS(schedule[Equipment CPP], schedule[Start Date],"&lt;="&amp;day_cash[[#This Row],[Date]]-$E$2, schedule[Finish Date],"&gt;="&amp;day_cash[[#This Row],[Date]]-$E$2)</f>
        <v>471.69811320754718</v>
      </c>
      <c r="F50" s="4">
        <f>SUMIFS(schedule[Sub CPP], schedule[Start Date],"&lt;="&amp;day_cash[[#This Row],[Date]]-$F$2, schedule[Finish Date],"&gt;="&amp;day_cash[[#This Row],[Date]]-$F$2)</f>
        <v>0</v>
      </c>
      <c r="G50" s="3">
        <f>SUMIFS(schedule[Other CPP], schedule[Start Date],"&lt;="&amp;day_cash[[#This Row],[Date]]-$G$2, schedule[Finish Date],"&gt;="&amp;day_cash[[#This Row],[Date]]-$G$2)</f>
        <v>499.24801750068366</v>
      </c>
      <c r="H50" s="3">
        <f>SUM(day_cash[[#This Row],[Labor Cost]:[Other Cost]])</f>
        <v>5138.026567649641</v>
      </c>
      <c r="I50" s="3">
        <f>SUMIFS(schedule[Revenue per Day], schedule[Start Date],"&lt;="&amp;day_cash[[#This Row],[Date]]-$I$2, schedule[Finish Date],"&gt;="&amp;day_cash[[#This Row],[Date]]-$I$2)</f>
        <v>0</v>
      </c>
      <c r="J50" s="3">
        <f>SUM(day_cash[[#Headers],[Labor Cost]]:day_cash[[#This Row],[Labor Cost]])</f>
        <v>74876.678468114493</v>
      </c>
      <c r="K50" s="3">
        <f>SUM(day_cash[[#Headers],[Material Cost]]:day_cash[[#This Row],[Material Cost]])</f>
        <v>1630.4347826086955</v>
      </c>
      <c r="L50" s="3">
        <f>SUM(day_cash[[#Headers],[Equipment Cost]]:day_cash[[#This Row],[Equipment Cost]])</f>
        <v>6132.0754716981128</v>
      </c>
      <c r="M50" s="3">
        <f>SUM(day_cash[[#Headers],[Sub Cost]]:day_cash[[#This Row],[Sub Cost]])</f>
        <v>0</v>
      </c>
      <c r="N50" s="3">
        <f>SUM(day_cash[[#Headers],[Other Cost]]:day_cash[[#This Row],[Other Cost]])</f>
        <v>5011.9633579436704</v>
      </c>
      <c r="O50" s="3">
        <f>SUM(day_cash[[#This Row],[Cumulative Labor]:[Cumulative Other]])</f>
        <v>87651.152080364962</v>
      </c>
      <c r="P50" s="3">
        <f>SUM(day_cash[[#Headers],[Revenue]]:day_cash[[#This Row],[Revenue]])</f>
        <v>0</v>
      </c>
    </row>
    <row r="51" spans="2:16" x14ac:dyDescent="0.45">
      <c r="B51" s="1">
        <v>46434</v>
      </c>
      <c r="C51" s="4">
        <f>SUMIFS(schedule[Labor CPP], schedule[Start Date],"&lt;="&amp;day_cash[[#This Row],[Date]], schedule[Finish Date],"&gt;="&amp;day_cash[[#This Row],[Date]])</f>
        <v>3840.993480419671</v>
      </c>
      <c r="D51" s="4">
        <f>SUMIFS(schedule[Material CPP], schedule[Start Date],"&lt;="&amp;day_cash[[#This Row],[Date]]-$D$2, schedule[Finish Date],"&gt;="&amp;day_cash[[#This Row],[Date]]-$D$2)</f>
        <v>326.08695652173913</v>
      </c>
      <c r="E51" s="4">
        <f>SUMIFS(schedule[Equipment CPP], schedule[Start Date],"&lt;="&amp;day_cash[[#This Row],[Date]]-$E$2, schedule[Finish Date],"&gt;="&amp;day_cash[[#This Row],[Date]]-$E$2)</f>
        <v>471.69811320754718</v>
      </c>
      <c r="F51" s="4">
        <f>SUMIFS(schedule[Sub CPP], schedule[Start Date],"&lt;="&amp;day_cash[[#This Row],[Date]]-$F$2, schedule[Finish Date],"&gt;="&amp;day_cash[[#This Row],[Date]]-$F$2)</f>
        <v>0</v>
      </c>
      <c r="G51" s="3">
        <f>SUMIFS(schedule[Other CPP], schedule[Start Date],"&lt;="&amp;day_cash[[#This Row],[Date]]-$G$2, schedule[Finish Date],"&gt;="&amp;day_cash[[#This Row],[Date]]-$G$2)</f>
        <v>499.24801750068366</v>
      </c>
      <c r="H51" s="3">
        <f>SUM(day_cash[[#This Row],[Labor Cost]:[Other Cost]])</f>
        <v>5138.026567649641</v>
      </c>
      <c r="I51" s="3">
        <f>SUMIFS(schedule[Revenue per Day], schedule[Start Date],"&lt;="&amp;day_cash[[#This Row],[Date]]-$I$2, schedule[Finish Date],"&gt;="&amp;day_cash[[#This Row],[Date]]-$I$2)</f>
        <v>0</v>
      </c>
      <c r="J51" s="3">
        <f>SUM(day_cash[[#Headers],[Labor Cost]]:day_cash[[#This Row],[Labor Cost]])</f>
        <v>78717.67194853416</v>
      </c>
      <c r="K51" s="3">
        <f>SUM(day_cash[[#Headers],[Material Cost]]:day_cash[[#This Row],[Material Cost]])</f>
        <v>1956.5217391304345</v>
      </c>
      <c r="L51" s="3">
        <f>SUM(day_cash[[#Headers],[Equipment Cost]]:day_cash[[#This Row],[Equipment Cost]])</f>
        <v>6603.7735849056598</v>
      </c>
      <c r="M51" s="3">
        <f>SUM(day_cash[[#Headers],[Sub Cost]]:day_cash[[#This Row],[Sub Cost]])</f>
        <v>0</v>
      </c>
      <c r="N51" s="3">
        <f>SUM(day_cash[[#Headers],[Other Cost]]:day_cash[[#This Row],[Other Cost]])</f>
        <v>5511.2113754443544</v>
      </c>
      <c r="O51" s="3">
        <f>SUM(day_cash[[#This Row],[Cumulative Labor]:[Cumulative Other]])</f>
        <v>92789.178648014611</v>
      </c>
      <c r="P51" s="3">
        <f>SUM(day_cash[[#Headers],[Revenue]]:day_cash[[#This Row],[Revenue]])</f>
        <v>0</v>
      </c>
    </row>
    <row r="52" spans="2:16" x14ac:dyDescent="0.45">
      <c r="B52" s="1">
        <v>46435</v>
      </c>
      <c r="C52" s="4">
        <f>SUMIFS(schedule[Labor CPP], schedule[Start Date],"&lt;="&amp;day_cash[[#This Row],[Date]], schedule[Finish Date],"&gt;="&amp;day_cash[[#This Row],[Date]])</f>
        <v>3840.993480419671</v>
      </c>
      <c r="D52" s="4">
        <f>SUMIFS(schedule[Material CPP], schedule[Start Date],"&lt;="&amp;day_cash[[#This Row],[Date]]-$D$2, schedule[Finish Date],"&gt;="&amp;day_cash[[#This Row],[Date]]-$D$2)</f>
        <v>326.08695652173913</v>
      </c>
      <c r="E52" s="4">
        <f>SUMIFS(schedule[Equipment CPP], schedule[Start Date],"&lt;="&amp;day_cash[[#This Row],[Date]]-$E$2, schedule[Finish Date],"&gt;="&amp;day_cash[[#This Row],[Date]]-$E$2)</f>
        <v>471.69811320754718</v>
      </c>
      <c r="F52" s="4">
        <f>SUMIFS(schedule[Sub CPP], schedule[Start Date],"&lt;="&amp;day_cash[[#This Row],[Date]]-$F$2, schedule[Finish Date],"&gt;="&amp;day_cash[[#This Row],[Date]]-$F$2)</f>
        <v>0</v>
      </c>
      <c r="G52" s="3">
        <f>SUMIFS(schedule[Other CPP], schedule[Start Date],"&lt;="&amp;day_cash[[#This Row],[Date]]-$G$2, schedule[Finish Date],"&gt;="&amp;day_cash[[#This Row],[Date]]-$G$2)</f>
        <v>499.24801750068366</v>
      </c>
      <c r="H52" s="3">
        <f>SUM(day_cash[[#This Row],[Labor Cost]:[Other Cost]])</f>
        <v>5138.026567649641</v>
      </c>
      <c r="I52" s="3">
        <f>SUMIFS(schedule[Revenue per Day], schedule[Start Date],"&lt;="&amp;day_cash[[#This Row],[Date]]-$I$2, schedule[Finish Date],"&gt;="&amp;day_cash[[#This Row],[Date]]-$I$2)</f>
        <v>0</v>
      </c>
      <c r="J52" s="3">
        <f>SUM(day_cash[[#Headers],[Labor Cost]]:day_cash[[#This Row],[Labor Cost]])</f>
        <v>82558.665428953827</v>
      </c>
      <c r="K52" s="3">
        <f>SUM(day_cash[[#Headers],[Material Cost]]:day_cash[[#This Row],[Material Cost]])</f>
        <v>2282.6086956521735</v>
      </c>
      <c r="L52" s="3">
        <f>SUM(day_cash[[#Headers],[Equipment Cost]]:day_cash[[#This Row],[Equipment Cost]])</f>
        <v>7075.4716981132069</v>
      </c>
      <c r="M52" s="3">
        <f>SUM(day_cash[[#Headers],[Sub Cost]]:day_cash[[#This Row],[Sub Cost]])</f>
        <v>0</v>
      </c>
      <c r="N52" s="3">
        <f>SUM(day_cash[[#Headers],[Other Cost]]:day_cash[[#This Row],[Other Cost]])</f>
        <v>6010.4593929450384</v>
      </c>
      <c r="O52" s="3">
        <f>SUM(day_cash[[#This Row],[Cumulative Labor]:[Cumulative Other]])</f>
        <v>97927.205215664246</v>
      </c>
      <c r="P52" s="3">
        <f>SUM(day_cash[[#Headers],[Revenue]]:day_cash[[#This Row],[Revenue]])</f>
        <v>0</v>
      </c>
    </row>
    <row r="53" spans="2:16" x14ac:dyDescent="0.45">
      <c r="B53" s="1">
        <v>46436</v>
      </c>
      <c r="C53" s="4">
        <f>SUMIFS(schedule[Labor CPP], schedule[Start Date],"&lt;="&amp;day_cash[[#This Row],[Date]], schedule[Finish Date],"&gt;="&amp;day_cash[[#This Row],[Date]])</f>
        <v>3840.993480419671</v>
      </c>
      <c r="D53" s="4">
        <f>SUMIFS(schedule[Material CPP], schedule[Start Date],"&lt;="&amp;day_cash[[#This Row],[Date]]-$D$2, schedule[Finish Date],"&gt;="&amp;day_cash[[#This Row],[Date]]-$D$2)</f>
        <v>326.08695652173913</v>
      </c>
      <c r="E53" s="4">
        <f>SUMIFS(schedule[Equipment CPP], schedule[Start Date],"&lt;="&amp;day_cash[[#This Row],[Date]]-$E$2, schedule[Finish Date],"&gt;="&amp;day_cash[[#This Row],[Date]]-$E$2)</f>
        <v>471.69811320754718</v>
      </c>
      <c r="F53" s="4">
        <f>SUMIFS(schedule[Sub CPP], schedule[Start Date],"&lt;="&amp;day_cash[[#This Row],[Date]]-$F$2, schedule[Finish Date],"&gt;="&amp;day_cash[[#This Row],[Date]]-$F$2)</f>
        <v>0</v>
      </c>
      <c r="G53" s="3">
        <f>SUMIFS(schedule[Other CPP], schedule[Start Date],"&lt;="&amp;day_cash[[#This Row],[Date]]-$G$2, schedule[Finish Date],"&gt;="&amp;day_cash[[#This Row],[Date]]-$G$2)</f>
        <v>499.24801750068366</v>
      </c>
      <c r="H53" s="3">
        <f>SUM(day_cash[[#This Row],[Labor Cost]:[Other Cost]])</f>
        <v>5138.026567649641</v>
      </c>
      <c r="I53" s="3">
        <f>SUMIFS(schedule[Revenue per Day], schedule[Start Date],"&lt;="&amp;day_cash[[#This Row],[Date]]-$I$2, schedule[Finish Date],"&gt;="&amp;day_cash[[#This Row],[Date]]-$I$2)</f>
        <v>0</v>
      </c>
      <c r="J53" s="3">
        <f>SUM(day_cash[[#Headers],[Labor Cost]]:day_cash[[#This Row],[Labor Cost]])</f>
        <v>86399.658909373495</v>
      </c>
      <c r="K53" s="3">
        <f>SUM(day_cash[[#Headers],[Material Cost]]:day_cash[[#This Row],[Material Cost]])</f>
        <v>2608.6956521739125</v>
      </c>
      <c r="L53" s="3">
        <f>SUM(day_cash[[#Headers],[Equipment Cost]]:day_cash[[#This Row],[Equipment Cost]])</f>
        <v>7547.169811320754</v>
      </c>
      <c r="M53" s="3">
        <f>SUM(day_cash[[#Headers],[Sub Cost]]:day_cash[[#This Row],[Sub Cost]])</f>
        <v>0</v>
      </c>
      <c r="N53" s="3">
        <f>SUM(day_cash[[#Headers],[Other Cost]]:day_cash[[#This Row],[Other Cost]])</f>
        <v>6509.7074104457224</v>
      </c>
      <c r="O53" s="3">
        <f>SUM(day_cash[[#This Row],[Cumulative Labor]:[Cumulative Other]])</f>
        <v>103065.23178331389</v>
      </c>
      <c r="P53" s="3">
        <f>SUM(day_cash[[#Headers],[Revenue]]:day_cash[[#This Row],[Revenue]])</f>
        <v>0</v>
      </c>
    </row>
    <row r="54" spans="2:16" x14ac:dyDescent="0.45">
      <c r="B54" s="1">
        <v>46437</v>
      </c>
      <c r="C54" s="4">
        <f>SUMIFS(schedule[Labor CPP], schedule[Start Date],"&lt;="&amp;day_cash[[#This Row],[Date]], schedule[Finish Date],"&gt;="&amp;day_cash[[#This Row],[Date]])</f>
        <v>3840.993480419671</v>
      </c>
      <c r="D54" s="4">
        <f>SUMIFS(schedule[Material CPP], schedule[Start Date],"&lt;="&amp;day_cash[[#This Row],[Date]]-$D$2, schedule[Finish Date],"&gt;="&amp;day_cash[[#This Row],[Date]]-$D$2)</f>
        <v>326.08695652173913</v>
      </c>
      <c r="E54" s="4">
        <f>SUMIFS(schedule[Equipment CPP], schedule[Start Date],"&lt;="&amp;day_cash[[#This Row],[Date]]-$E$2, schedule[Finish Date],"&gt;="&amp;day_cash[[#This Row],[Date]]-$E$2)</f>
        <v>471.69811320754718</v>
      </c>
      <c r="F54" s="4">
        <f>SUMIFS(schedule[Sub CPP], schedule[Start Date],"&lt;="&amp;day_cash[[#This Row],[Date]]-$F$2, schedule[Finish Date],"&gt;="&amp;day_cash[[#This Row],[Date]]-$F$2)</f>
        <v>0</v>
      </c>
      <c r="G54" s="3">
        <f>SUMIFS(schedule[Other CPP], schedule[Start Date],"&lt;="&amp;day_cash[[#This Row],[Date]]-$G$2, schedule[Finish Date],"&gt;="&amp;day_cash[[#This Row],[Date]]-$G$2)</f>
        <v>499.24801750068366</v>
      </c>
      <c r="H54" s="3">
        <f>SUM(day_cash[[#This Row],[Labor Cost]:[Other Cost]])</f>
        <v>5138.026567649641</v>
      </c>
      <c r="I54" s="3">
        <f>SUMIFS(schedule[Revenue per Day], schedule[Start Date],"&lt;="&amp;day_cash[[#This Row],[Date]]-$I$2, schedule[Finish Date],"&gt;="&amp;day_cash[[#This Row],[Date]]-$I$2)</f>
        <v>0</v>
      </c>
      <c r="J54" s="3">
        <f>SUM(day_cash[[#Headers],[Labor Cost]]:day_cash[[#This Row],[Labor Cost]])</f>
        <v>90240.652389793162</v>
      </c>
      <c r="K54" s="3">
        <f>SUM(day_cash[[#Headers],[Material Cost]]:day_cash[[#This Row],[Material Cost]])</f>
        <v>2934.7826086956516</v>
      </c>
      <c r="L54" s="3">
        <f>SUM(day_cash[[#Headers],[Equipment Cost]]:day_cash[[#This Row],[Equipment Cost]])</f>
        <v>8018.867924528301</v>
      </c>
      <c r="M54" s="3">
        <f>SUM(day_cash[[#Headers],[Sub Cost]]:day_cash[[#This Row],[Sub Cost]])</f>
        <v>0</v>
      </c>
      <c r="N54" s="3">
        <f>SUM(day_cash[[#Headers],[Other Cost]]:day_cash[[#This Row],[Other Cost]])</f>
        <v>7008.9554279464064</v>
      </c>
      <c r="O54" s="3">
        <f>SUM(day_cash[[#This Row],[Cumulative Labor]:[Cumulative Other]])</f>
        <v>108203.25835096352</v>
      </c>
      <c r="P54" s="3">
        <f>SUM(day_cash[[#Headers],[Revenue]]:day_cash[[#This Row],[Revenue]])</f>
        <v>0</v>
      </c>
    </row>
    <row r="55" spans="2:16" x14ac:dyDescent="0.45">
      <c r="B55" s="1">
        <v>46438</v>
      </c>
      <c r="C55" s="4">
        <f>SUMIFS(schedule[Labor CPP], schedule[Start Date],"&lt;="&amp;day_cash[[#This Row],[Date]], schedule[Finish Date],"&gt;="&amp;day_cash[[#This Row],[Date]])</f>
        <v>3840.993480419671</v>
      </c>
      <c r="D55" s="4">
        <f>SUMIFS(schedule[Material CPP], schedule[Start Date],"&lt;="&amp;day_cash[[#This Row],[Date]]-$D$2, schedule[Finish Date],"&gt;="&amp;day_cash[[#This Row],[Date]]-$D$2)</f>
        <v>326.08695652173913</v>
      </c>
      <c r="E55" s="4">
        <f>SUMIFS(schedule[Equipment CPP], schedule[Start Date],"&lt;="&amp;day_cash[[#This Row],[Date]]-$E$2, schedule[Finish Date],"&gt;="&amp;day_cash[[#This Row],[Date]]-$E$2)</f>
        <v>471.69811320754718</v>
      </c>
      <c r="F55" s="4">
        <f>SUMIFS(schedule[Sub CPP], schedule[Start Date],"&lt;="&amp;day_cash[[#This Row],[Date]]-$F$2, schedule[Finish Date],"&gt;="&amp;day_cash[[#This Row],[Date]]-$F$2)</f>
        <v>0</v>
      </c>
      <c r="G55" s="3">
        <f>SUMIFS(schedule[Other CPP], schedule[Start Date],"&lt;="&amp;day_cash[[#This Row],[Date]]-$G$2, schedule[Finish Date],"&gt;="&amp;day_cash[[#This Row],[Date]]-$G$2)</f>
        <v>499.24801750068366</v>
      </c>
      <c r="H55" s="3">
        <f>SUM(day_cash[[#This Row],[Labor Cost]:[Other Cost]])</f>
        <v>5138.026567649641</v>
      </c>
      <c r="I55" s="3">
        <f>SUMIFS(schedule[Revenue per Day], schedule[Start Date],"&lt;="&amp;day_cash[[#This Row],[Date]]-$I$2, schedule[Finish Date],"&gt;="&amp;day_cash[[#This Row],[Date]]-$I$2)</f>
        <v>0</v>
      </c>
      <c r="J55" s="3">
        <f>SUM(day_cash[[#Headers],[Labor Cost]]:day_cash[[#This Row],[Labor Cost]])</f>
        <v>94081.645870212829</v>
      </c>
      <c r="K55" s="3">
        <f>SUM(day_cash[[#Headers],[Material Cost]]:day_cash[[#This Row],[Material Cost]])</f>
        <v>3260.8695652173906</v>
      </c>
      <c r="L55" s="3">
        <f>SUM(day_cash[[#Headers],[Equipment Cost]]:day_cash[[#This Row],[Equipment Cost]])</f>
        <v>8490.566037735849</v>
      </c>
      <c r="M55" s="3">
        <f>SUM(day_cash[[#Headers],[Sub Cost]]:day_cash[[#This Row],[Sub Cost]])</f>
        <v>0</v>
      </c>
      <c r="N55" s="3">
        <f>SUM(day_cash[[#Headers],[Other Cost]]:day_cash[[#This Row],[Other Cost]])</f>
        <v>7508.2034454470904</v>
      </c>
      <c r="O55" s="3">
        <f>SUM(day_cash[[#This Row],[Cumulative Labor]:[Cumulative Other]])</f>
        <v>113341.28491861315</v>
      </c>
      <c r="P55" s="3">
        <f>SUM(day_cash[[#Headers],[Revenue]]:day_cash[[#This Row],[Revenue]])</f>
        <v>0</v>
      </c>
    </row>
    <row r="56" spans="2:16" x14ac:dyDescent="0.45">
      <c r="B56" s="1">
        <v>46439</v>
      </c>
      <c r="C56" s="4">
        <f>SUMIFS(schedule[Labor CPP], schedule[Start Date],"&lt;="&amp;day_cash[[#This Row],[Date]], schedule[Finish Date],"&gt;="&amp;day_cash[[#This Row],[Date]])</f>
        <v>3840.993480419671</v>
      </c>
      <c r="D56" s="4">
        <f>SUMIFS(schedule[Material CPP], schedule[Start Date],"&lt;="&amp;day_cash[[#This Row],[Date]]-$D$2, schedule[Finish Date],"&gt;="&amp;day_cash[[#This Row],[Date]]-$D$2)</f>
        <v>326.08695652173913</v>
      </c>
      <c r="E56" s="4">
        <f>SUMIFS(schedule[Equipment CPP], schedule[Start Date],"&lt;="&amp;day_cash[[#This Row],[Date]]-$E$2, schedule[Finish Date],"&gt;="&amp;day_cash[[#This Row],[Date]]-$E$2)</f>
        <v>471.69811320754718</v>
      </c>
      <c r="F56" s="4">
        <f>SUMIFS(schedule[Sub CPP], schedule[Start Date],"&lt;="&amp;day_cash[[#This Row],[Date]]-$F$2, schedule[Finish Date],"&gt;="&amp;day_cash[[#This Row],[Date]]-$F$2)</f>
        <v>0</v>
      </c>
      <c r="G56" s="3">
        <f>SUMIFS(schedule[Other CPP], schedule[Start Date],"&lt;="&amp;day_cash[[#This Row],[Date]]-$G$2, schedule[Finish Date],"&gt;="&amp;day_cash[[#This Row],[Date]]-$G$2)</f>
        <v>499.24801750068366</v>
      </c>
      <c r="H56" s="3">
        <f>SUM(day_cash[[#This Row],[Labor Cost]:[Other Cost]])</f>
        <v>5138.026567649641</v>
      </c>
      <c r="I56" s="3">
        <f>SUMIFS(schedule[Revenue per Day], schedule[Start Date],"&lt;="&amp;day_cash[[#This Row],[Date]]-$I$2, schedule[Finish Date],"&gt;="&amp;day_cash[[#This Row],[Date]]-$I$2)</f>
        <v>0</v>
      </c>
      <c r="J56" s="3">
        <f>SUM(day_cash[[#Headers],[Labor Cost]]:day_cash[[#This Row],[Labor Cost]])</f>
        <v>97922.639350632497</v>
      </c>
      <c r="K56" s="3">
        <f>SUM(day_cash[[#Headers],[Material Cost]]:day_cash[[#This Row],[Material Cost]])</f>
        <v>3586.9565217391296</v>
      </c>
      <c r="L56" s="3">
        <f>SUM(day_cash[[#Headers],[Equipment Cost]]:day_cash[[#This Row],[Equipment Cost]])</f>
        <v>8962.2641509433961</v>
      </c>
      <c r="M56" s="3">
        <f>SUM(day_cash[[#Headers],[Sub Cost]]:day_cash[[#This Row],[Sub Cost]])</f>
        <v>0</v>
      </c>
      <c r="N56" s="3">
        <f>SUM(day_cash[[#Headers],[Other Cost]]:day_cash[[#This Row],[Other Cost]])</f>
        <v>8007.4514629477744</v>
      </c>
      <c r="O56" s="3">
        <f>SUM(day_cash[[#This Row],[Cumulative Labor]:[Cumulative Other]])</f>
        <v>118479.31148626281</v>
      </c>
      <c r="P56" s="3">
        <f>SUM(day_cash[[#Headers],[Revenue]]:day_cash[[#This Row],[Revenue]])</f>
        <v>0</v>
      </c>
    </row>
    <row r="57" spans="2:16" x14ac:dyDescent="0.45">
      <c r="B57" s="1">
        <v>46440</v>
      </c>
      <c r="C57" s="4">
        <f>SUMIFS(schedule[Labor CPP], schedule[Start Date],"&lt;="&amp;day_cash[[#This Row],[Date]], schedule[Finish Date],"&gt;="&amp;day_cash[[#This Row],[Date]])</f>
        <v>3840.993480419671</v>
      </c>
      <c r="D57" s="4">
        <f>SUMIFS(schedule[Material CPP], schedule[Start Date],"&lt;="&amp;day_cash[[#This Row],[Date]]-$D$2, schedule[Finish Date],"&gt;="&amp;day_cash[[#This Row],[Date]]-$D$2)</f>
        <v>326.08695652173913</v>
      </c>
      <c r="E57" s="4">
        <f>SUMIFS(schedule[Equipment CPP], schedule[Start Date],"&lt;="&amp;day_cash[[#This Row],[Date]]-$E$2, schedule[Finish Date],"&gt;="&amp;day_cash[[#This Row],[Date]]-$E$2)</f>
        <v>471.69811320754718</v>
      </c>
      <c r="F57" s="4">
        <f>SUMIFS(schedule[Sub CPP], schedule[Start Date],"&lt;="&amp;day_cash[[#This Row],[Date]]-$F$2, schedule[Finish Date],"&gt;="&amp;day_cash[[#This Row],[Date]]-$F$2)</f>
        <v>0</v>
      </c>
      <c r="G57" s="3">
        <f>SUMIFS(schedule[Other CPP], schedule[Start Date],"&lt;="&amp;day_cash[[#This Row],[Date]]-$G$2, schedule[Finish Date],"&gt;="&amp;day_cash[[#This Row],[Date]]-$G$2)</f>
        <v>499.24801750068366</v>
      </c>
      <c r="H57" s="3">
        <f>SUM(day_cash[[#This Row],[Labor Cost]:[Other Cost]])</f>
        <v>5138.026567649641</v>
      </c>
      <c r="I57" s="3">
        <f>SUMIFS(schedule[Revenue per Day], schedule[Start Date],"&lt;="&amp;day_cash[[#This Row],[Date]]-$I$2, schedule[Finish Date],"&gt;="&amp;day_cash[[#This Row],[Date]]-$I$2)</f>
        <v>0</v>
      </c>
      <c r="J57" s="3">
        <f>SUM(day_cash[[#Headers],[Labor Cost]]:day_cash[[#This Row],[Labor Cost]])</f>
        <v>101763.63283105216</v>
      </c>
      <c r="K57" s="3">
        <f>SUM(day_cash[[#Headers],[Material Cost]]:day_cash[[#This Row],[Material Cost]])</f>
        <v>3913.0434782608686</v>
      </c>
      <c r="L57" s="3">
        <f>SUM(day_cash[[#Headers],[Equipment Cost]]:day_cash[[#This Row],[Equipment Cost]])</f>
        <v>9433.9622641509432</v>
      </c>
      <c r="M57" s="3">
        <f>SUM(day_cash[[#Headers],[Sub Cost]]:day_cash[[#This Row],[Sub Cost]])</f>
        <v>0</v>
      </c>
      <c r="N57" s="3">
        <f>SUM(day_cash[[#Headers],[Other Cost]]:day_cash[[#This Row],[Other Cost]])</f>
        <v>8506.6994804484584</v>
      </c>
      <c r="O57" s="3">
        <f>SUM(day_cash[[#This Row],[Cumulative Labor]:[Cumulative Other]])</f>
        <v>123617.33805391243</v>
      </c>
      <c r="P57" s="3">
        <f>SUM(day_cash[[#Headers],[Revenue]]:day_cash[[#This Row],[Revenue]])</f>
        <v>0</v>
      </c>
    </row>
    <row r="58" spans="2:16" x14ac:dyDescent="0.45">
      <c r="B58" s="1">
        <v>46441</v>
      </c>
      <c r="C58" s="4">
        <f>SUMIFS(schedule[Labor CPP], schedule[Start Date],"&lt;="&amp;day_cash[[#This Row],[Date]], schedule[Finish Date],"&gt;="&amp;day_cash[[#This Row],[Date]])</f>
        <v>3840.993480419671</v>
      </c>
      <c r="D58" s="4">
        <f>SUMIFS(schedule[Material CPP], schedule[Start Date],"&lt;="&amp;day_cash[[#This Row],[Date]]-$D$2, schedule[Finish Date],"&gt;="&amp;day_cash[[#This Row],[Date]]-$D$2)</f>
        <v>326.08695652173913</v>
      </c>
      <c r="E58" s="4">
        <f>SUMIFS(schedule[Equipment CPP], schedule[Start Date],"&lt;="&amp;day_cash[[#This Row],[Date]]-$E$2, schedule[Finish Date],"&gt;="&amp;day_cash[[#This Row],[Date]]-$E$2)</f>
        <v>471.69811320754718</v>
      </c>
      <c r="F58" s="4">
        <f>SUMIFS(schedule[Sub CPP], schedule[Start Date],"&lt;="&amp;day_cash[[#This Row],[Date]]-$F$2, schedule[Finish Date],"&gt;="&amp;day_cash[[#This Row],[Date]]-$F$2)</f>
        <v>0</v>
      </c>
      <c r="G58" s="3">
        <f>SUMIFS(schedule[Other CPP], schedule[Start Date],"&lt;="&amp;day_cash[[#This Row],[Date]]-$G$2, schedule[Finish Date],"&gt;="&amp;day_cash[[#This Row],[Date]]-$G$2)</f>
        <v>499.24801750068366</v>
      </c>
      <c r="H58" s="3">
        <f>SUM(day_cash[[#This Row],[Labor Cost]:[Other Cost]])</f>
        <v>5138.026567649641</v>
      </c>
      <c r="I58" s="3">
        <f>SUMIFS(schedule[Revenue per Day], schedule[Start Date],"&lt;="&amp;day_cash[[#This Row],[Date]]-$I$2, schedule[Finish Date],"&gt;="&amp;day_cash[[#This Row],[Date]]-$I$2)</f>
        <v>0</v>
      </c>
      <c r="J58" s="3">
        <f>SUM(day_cash[[#Headers],[Labor Cost]]:day_cash[[#This Row],[Labor Cost]])</f>
        <v>105604.62631147183</v>
      </c>
      <c r="K58" s="3">
        <f>SUM(day_cash[[#Headers],[Material Cost]]:day_cash[[#This Row],[Material Cost]])</f>
        <v>4239.1304347826081</v>
      </c>
      <c r="L58" s="3">
        <f>SUM(day_cash[[#Headers],[Equipment Cost]]:day_cash[[#This Row],[Equipment Cost]])</f>
        <v>9905.6603773584902</v>
      </c>
      <c r="M58" s="3">
        <f>SUM(day_cash[[#Headers],[Sub Cost]]:day_cash[[#This Row],[Sub Cost]])</f>
        <v>0</v>
      </c>
      <c r="N58" s="3">
        <f>SUM(day_cash[[#Headers],[Other Cost]]:day_cash[[#This Row],[Other Cost]])</f>
        <v>9005.9474979491424</v>
      </c>
      <c r="O58" s="3">
        <f>SUM(day_cash[[#This Row],[Cumulative Labor]:[Cumulative Other]])</f>
        <v>128755.36462156207</v>
      </c>
      <c r="P58" s="3">
        <f>SUM(day_cash[[#Headers],[Revenue]]:day_cash[[#This Row],[Revenue]])</f>
        <v>0</v>
      </c>
    </row>
    <row r="59" spans="2:16" x14ac:dyDescent="0.45">
      <c r="B59" s="1">
        <v>46442</v>
      </c>
      <c r="C59" s="4">
        <f>SUMIFS(schedule[Labor CPP], schedule[Start Date],"&lt;="&amp;day_cash[[#This Row],[Date]], schedule[Finish Date],"&gt;="&amp;day_cash[[#This Row],[Date]])</f>
        <v>3840.993480419671</v>
      </c>
      <c r="D59" s="4">
        <f>SUMIFS(schedule[Material CPP], schedule[Start Date],"&lt;="&amp;day_cash[[#This Row],[Date]]-$D$2, schedule[Finish Date],"&gt;="&amp;day_cash[[#This Row],[Date]]-$D$2)</f>
        <v>326.08695652173913</v>
      </c>
      <c r="E59" s="4">
        <f>SUMIFS(schedule[Equipment CPP], schedule[Start Date],"&lt;="&amp;day_cash[[#This Row],[Date]]-$E$2, schedule[Finish Date],"&gt;="&amp;day_cash[[#This Row],[Date]]-$E$2)</f>
        <v>471.69811320754718</v>
      </c>
      <c r="F59" s="4">
        <f>SUMIFS(schedule[Sub CPP], schedule[Start Date],"&lt;="&amp;day_cash[[#This Row],[Date]]-$F$2, schedule[Finish Date],"&gt;="&amp;day_cash[[#This Row],[Date]]-$F$2)</f>
        <v>0</v>
      </c>
      <c r="G59" s="3">
        <f>SUMIFS(schedule[Other CPP], schedule[Start Date],"&lt;="&amp;day_cash[[#This Row],[Date]]-$G$2, schedule[Finish Date],"&gt;="&amp;day_cash[[#This Row],[Date]]-$G$2)</f>
        <v>499.24801750068366</v>
      </c>
      <c r="H59" s="3">
        <f>SUM(day_cash[[#This Row],[Labor Cost]:[Other Cost]])</f>
        <v>5138.026567649641</v>
      </c>
      <c r="I59" s="3">
        <f>SUMIFS(schedule[Revenue per Day], schedule[Start Date],"&lt;="&amp;day_cash[[#This Row],[Date]]-$I$2, schedule[Finish Date],"&gt;="&amp;day_cash[[#This Row],[Date]]-$I$2)</f>
        <v>0</v>
      </c>
      <c r="J59" s="3">
        <f>SUM(day_cash[[#Headers],[Labor Cost]]:day_cash[[#This Row],[Labor Cost]])</f>
        <v>109445.6197918915</v>
      </c>
      <c r="K59" s="3">
        <f>SUM(day_cash[[#Headers],[Material Cost]]:day_cash[[#This Row],[Material Cost]])</f>
        <v>4565.2173913043471</v>
      </c>
      <c r="L59" s="3">
        <f>SUM(day_cash[[#Headers],[Equipment Cost]]:day_cash[[#This Row],[Equipment Cost]])</f>
        <v>10377.358490566037</v>
      </c>
      <c r="M59" s="3">
        <f>SUM(day_cash[[#Headers],[Sub Cost]]:day_cash[[#This Row],[Sub Cost]])</f>
        <v>0</v>
      </c>
      <c r="N59" s="3">
        <f>SUM(day_cash[[#Headers],[Other Cost]]:day_cash[[#This Row],[Other Cost]])</f>
        <v>9505.1955154498264</v>
      </c>
      <c r="O59" s="3">
        <f>SUM(day_cash[[#This Row],[Cumulative Labor]:[Cumulative Other]])</f>
        <v>133893.39118921172</v>
      </c>
      <c r="P59" s="3">
        <f>SUM(day_cash[[#Headers],[Revenue]]:day_cash[[#This Row],[Revenue]])</f>
        <v>0</v>
      </c>
    </row>
    <row r="60" spans="2:16" x14ac:dyDescent="0.45">
      <c r="B60" s="1">
        <v>46443</v>
      </c>
      <c r="C60" s="4">
        <f>SUMIFS(schedule[Labor CPP], schedule[Start Date],"&lt;="&amp;day_cash[[#This Row],[Date]], schedule[Finish Date],"&gt;="&amp;day_cash[[#This Row],[Date]])</f>
        <v>3840.993480419671</v>
      </c>
      <c r="D60" s="4">
        <f>SUMIFS(schedule[Material CPP], schedule[Start Date],"&lt;="&amp;day_cash[[#This Row],[Date]]-$D$2, schedule[Finish Date],"&gt;="&amp;day_cash[[#This Row],[Date]]-$D$2)</f>
        <v>326.08695652173913</v>
      </c>
      <c r="E60" s="4">
        <f>SUMIFS(schedule[Equipment CPP], schedule[Start Date],"&lt;="&amp;day_cash[[#This Row],[Date]]-$E$2, schedule[Finish Date],"&gt;="&amp;day_cash[[#This Row],[Date]]-$E$2)</f>
        <v>471.69811320754718</v>
      </c>
      <c r="F60" s="4">
        <f>SUMIFS(schedule[Sub CPP], schedule[Start Date],"&lt;="&amp;day_cash[[#This Row],[Date]]-$F$2, schedule[Finish Date],"&gt;="&amp;day_cash[[#This Row],[Date]]-$F$2)</f>
        <v>0</v>
      </c>
      <c r="G60" s="3">
        <f>SUMIFS(schedule[Other CPP], schedule[Start Date],"&lt;="&amp;day_cash[[#This Row],[Date]]-$G$2, schedule[Finish Date],"&gt;="&amp;day_cash[[#This Row],[Date]]-$G$2)</f>
        <v>499.24801750068366</v>
      </c>
      <c r="H60" s="3">
        <f>SUM(day_cash[[#This Row],[Labor Cost]:[Other Cost]])</f>
        <v>5138.026567649641</v>
      </c>
      <c r="I60" s="3">
        <f>SUMIFS(schedule[Revenue per Day], schedule[Start Date],"&lt;="&amp;day_cash[[#This Row],[Date]]-$I$2, schedule[Finish Date],"&gt;="&amp;day_cash[[#This Row],[Date]]-$I$2)</f>
        <v>0</v>
      </c>
      <c r="J60" s="3">
        <f>SUM(day_cash[[#Headers],[Labor Cost]]:day_cash[[#This Row],[Labor Cost]])</f>
        <v>113286.61327231117</v>
      </c>
      <c r="K60" s="3">
        <f>SUM(day_cash[[#Headers],[Material Cost]]:day_cash[[#This Row],[Material Cost]])</f>
        <v>4891.3043478260861</v>
      </c>
      <c r="L60" s="3">
        <f>SUM(day_cash[[#Headers],[Equipment Cost]]:day_cash[[#This Row],[Equipment Cost]])</f>
        <v>10849.056603773584</v>
      </c>
      <c r="M60" s="3">
        <f>SUM(day_cash[[#Headers],[Sub Cost]]:day_cash[[#This Row],[Sub Cost]])</f>
        <v>0</v>
      </c>
      <c r="N60" s="3">
        <f>SUM(day_cash[[#Headers],[Other Cost]]:day_cash[[#This Row],[Other Cost]])</f>
        <v>10004.44353295051</v>
      </c>
      <c r="O60" s="3">
        <f>SUM(day_cash[[#This Row],[Cumulative Labor]:[Cumulative Other]])</f>
        <v>139031.41775686134</v>
      </c>
      <c r="P60" s="3">
        <f>SUM(day_cash[[#Headers],[Revenue]]:day_cash[[#This Row],[Revenue]])</f>
        <v>0</v>
      </c>
    </row>
    <row r="61" spans="2:16" x14ac:dyDescent="0.45">
      <c r="B61" s="1">
        <v>46444</v>
      </c>
      <c r="C61" s="4">
        <f>SUMIFS(schedule[Labor CPP], schedule[Start Date],"&lt;="&amp;day_cash[[#This Row],[Date]], schedule[Finish Date],"&gt;="&amp;day_cash[[#This Row],[Date]])</f>
        <v>3840.993480419671</v>
      </c>
      <c r="D61" s="4">
        <f>SUMIFS(schedule[Material CPP], schedule[Start Date],"&lt;="&amp;day_cash[[#This Row],[Date]]-$D$2, schedule[Finish Date],"&gt;="&amp;day_cash[[#This Row],[Date]]-$D$2)</f>
        <v>326.08695652173913</v>
      </c>
      <c r="E61" s="4">
        <f>SUMIFS(schedule[Equipment CPP], schedule[Start Date],"&lt;="&amp;day_cash[[#This Row],[Date]]-$E$2, schedule[Finish Date],"&gt;="&amp;day_cash[[#This Row],[Date]]-$E$2)</f>
        <v>471.69811320754718</v>
      </c>
      <c r="F61" s="4">
        <f>SUMIFS(schedule[Sub CPP], schedule[Start Date],"&lt;="&amp;day_cash[[#This Row],[Date]]-$F$2, schedule[Finish Date],"&gt;="&amp;day_cash[[#This Row],[Date]]-$F$2)</f>
        <v>0</v>
      </c>
      <c r="G61" s="3">
        <f>SUMIFS(schedule[Other CPP], schedule[Start Date],"&lt;="&amp;day_cash[[#This Row],[Date]]-$G$2, schedule[Finish Date],"&gt;="&amp;day_cash[[#This Row],[Date]]-$G$2)</f>
        <v>499.24801750068366</v>
      </c>
      <c r="H61" s="3">
        <f>SUM(day_cash[[#This Row],[Labor Cost]:[Other Cost]])</f>
        <v>5138.026567649641</v>
      </c>
      <c r="I61" s="3">
        <f>SUMIFS(schedule[Revenue per Day], schedule[Start Date],"&lt;="&amp;day_cash[[#This Row],[Date]]-$I$2, schedule[Finish Date],"&gt;="&amp;day_cash[[#This Row],[Date]]-$I$2)</f>
        <v>0</v>
      </c>
      <c r="J61" s="3">
        <f>SUM(day_cash[[#Headers],[Labor Cost]]:day_cash[[#This Row],[Labor Cost]])</f>
        <v>117127.60675273083</v>
      </c>
      <c r="K61" s="3">
        <f>SUM(day_cash[[#Headers],[Material Cost]]:day_cash[[#This Row],[Material Cost]])</f>
        <v>5217.3913043478251</v>
      </c>
      <c r="L61" s="3">
        <f>SUM(day_cash[[#Headers],[Equipment Cost]]:day_cash[[#This Row],[Equipment Cost]])</f>
        <v>11320.754716981131</v>
      </c>
      <c r="M61" s="3">
        <f>SUM(day_cash[[#Headers],[Sub Cost]]:day_cash[[#This Row],[Sub Cost]])</f>
        <v>0</v>
      </c>
      <c r="N61" s="3">
        <f>SUM(day_cash[[#Headers],[Other Cost]]:day_cash[[#This Row],[Other Cost]])</f>
        <v>10503.691550451194</v>
      </c>
      <c r="O61" s="3">
        <f>SUM(day_cash[[#This Row],[Cumulative Labor]:[Cumulative Other]])</f>
        <v>144169.44432451099</v>
      </c>
      <c r="P61" s="3">
        <f>SUM(day_cash[[#Headers],[Revenue]]:day_cash[[#This Row],[Revenue]])</f>
        <v>0</v>
      </c>
    </row>
    <row r="62" spans="2:16" x14ac:dyDescent="0.45">
      <c r="B62" s="1">
        <v>46445</v>
      </c>
      <c r="C62" s="4">
        <f>SUMIFS(schedule[Labor CPP], schedule[Start Date],"&lt;="&amp;day_cash[[#This Row],[Date]], schedule[Finish Date],"&gt;="&amp;day_cash[[#This Row],[Date]])</f>
        <v>2917.08043694141</v>
      </c>
      <c r="D62" s="4">
        <f>SUMIFS(schedule[Material CPP], schedule[Start Date],"&lt;="&amp;day_cash[[#This Row],[Date]]-$D$2, schedule[Finish Date],"&gt;="&amp;day_cash[[#This Row],[Date]]-$D$2)</f>
        <v>326.08695652173913</v>
      </c>
      <c r="E62" s="4">
        <f>SUMIFS(schedule[Equipment CPP], schedule[Start Date],"&lt;="&amp;day_cash[[#This Row],[Date]]-$E$2, schedule[Finish Date],"&gt;="&amp;day_cash[[#This Row],[Date]]-$E$2)</f>
        <v>471.69811320754718</v>
      </c>
      <c r="F62" s="4">
        <f>SUMIFS(schedule[Sub CPP], schedule[Start Date],"&lt;="&amp;day_cash[[#This Row],[Date]]-$F$2, schedule[Finish Date],"&gt;="&amp;day_cash[[#This Row],[Date]]-$F$2)</f>
        <v>0</v>
      </c>
      <c r="G62" s="3">
        <f>SUMIFS(schedule[Other CPP], schedule[Start Date],"&lt;="&amp;day_cash[[#This Row],[Date]]-$G$2, schedule[Finish Date],"&gt;="&amp;day_cash[[#This Row],[Date]]-$G$2)</f>
        <v>499.24801750068366</v>
      </c>
      <c r="H62" s="3">
        <f>SUM(day_cash[[#This Row],[Labor Cost]:[Other Cost]])</f>
        <v>4214.11352417138</v>
      </c>
      <c r="I62" s="3">
        <f>SUMIFS(schedule[Revenue per Day], schedule[Start Date],"&lt;="&amp;day_cash[[#This Row],[Date]]-$I$2, schedule[Finish Date],"&gt;="&amp;day_cash[[#This Row],[Date]]-$I$2)</f>
        <v>0</v>
      </c>
      <c r="J62" s="3">
        <f>SUM(day_cash[[#Headers],[Labor Cost]]:day_cash[[#This Row],[Labor Cost]])</f>
        <v>120044.68718967224</v>
      </c>
      <c r="K62" s="3">
        <f>SUM(day_cash[[#Headers],[Material Cost]]:day_cash[[#This Row],[Material Cost]])</f>
        <v>5543.4782608695641</v>
      </c>
      <c r="L62" s="3">
        <f>SUM(day_cash[[#Headers],[Equipment Cost]]:day_cash[[#This Row],[Equipment Cost]])</f>
        <v>11792.452830188678</v>
      </c>
      <c r="M62" s="3">
        <f>SUM(day_cash[[#Headers],[Sub Cost]]:day_cash[[#This Row],[Sub Cost]])</f>
        <v>0</v>
      </c>
      <c r="N62" s="3">
        <f>SUM(day_cash[[#Headers],[Other Cost]]:day_cash[[#This Row],[Other Cost]])</f>
        <v>11002.939567951878</v>
      </c>
      <c r="O62" s="3">
        <f>SUM(day_cash[[#This Row],[Cumulative Labor]:[Cumulative Other]])</f>
        <v>148383.55784868239</v>
      </c>
      <c r="P62" s="3">
        <f>SUM(day_cash[[#Headers],[Revenue]]:day_cash[[#This Row],[Revenue]])</f>
        <v>0</v>
      </c>
    </row>
    <row r="63" spans="2:16" x14ac:dyDescent="0.45">
      <c r="B63" s="1">
        <v>46446</v>
      </c>
      <c r="C63" s="4">
        <f>SUMIFS(schedule[Labor CPP], schedule[Start Date],"&lt;="&amp;day_cash[[#This Row],[Date]], schedule[Finish Date],"&gt;="&amp;day_cash[[#This Row],[Date]])</f>
        <v>2917.08043694141</v>
      </c>
      <c r="D63" s="4">
        <f>SUMIFS(schedule[Material CPP], schedule[Start Date],"&lt;="&amp;day_cash[[#This Row],[Date]]-$D$2, schedule[Finish Date],"&gt;="&amp;day_cash[[#This Row],[Date]]-$D$2)</f>
        <v>326.08695652173913</v>
      </c>
      <c r="E63" s="4">
        <f>SUMIFS(schedule[Equipment CPP], schedule[Start Date],"&lt;="&amp;day_cash[[#This Row],[Date]]-$E$2, schedule[Finish Date],"&gt;="&amp;day_cash[[#This Row],[Date]]-$E$2)</f>
        <v>471.69811320754718</v>
      </c>
      <c r="F63" s="4">
        <f>SUMIFS(schedule[Sub CPP], schedule[Start Date],"&lt;="&amp;day_cash[[#This Row],[Date]]-$F$2, schedule[Finish Date],"&gt;="&amp;day_cash[[#This Row],[Date]]-$F$2)</f>
        <v>0</v>
      </c>
      <c r="G63" s="3">
        <f>SUMIFS(schedule[Other CPP], schedule[Start Date],"&lt;="&amp;day_cash[[#This Row],[Date]]-$G$2, schedule[Finish Date],"&gt;="&amp;day_cash[[#This Row],[Date]]-$G$2)</f>
        <v>499.24801750068366</v>
      </c>
      <c r="H63" s="3">
        <f>SUM(day_cash[[#This Row],[Labor Cost]:[Other Cost]])</f>
        <v>4214.11352417138</v>
      </c>
      <c r="I63" s="3">
        <f>SUMIFS(schedule[Revenue per Day], schedule[Start Date],"&lt;="&amp;day_cash[[#This Row],[Date]]-$I$2, schedule[Finish Date],"&gt;="&amp;day_cash[[#This Row],[Date]]-$I$2)</f>
        <v>0</v>
      </c>
      <c r="J63" s="3">
        <f>SUM(day_cash[[#Headers],[Labor Cost]]:day_cash[[#This Row],[Labor Cost]])</f>
        <v>122961.76762661366</v>
      </c>
      <c r="K63" s="3">
        <f>SUM(day_cash[[#Headers],[Material Cost]]:day_cash[[#This Row],[Material Cost]])</f>
        <v>5869.5652173913031</v>
      </c>
      <c r="L63" s="3">
        <f>SUM(day_cash[[#Headers],[Equipment Cost]]:day_cash[[#This Row],[Equipment Cost]])</f>
        <v>12264.150943396226</v>
      </c>
      <c r="M63" s="3">
        <f>SUM(day_cash[[#Headers],[Sub Cost]]:day_cash[[#This Row],[Sub Cost]])</f>
        <v>0</v>
      </c>
      <c r="N63" s="3">
        <f>SUM(day_cash[[#Headers],[Other Cost]]:day_cash[[#This Row],[Other Cost]])</f>
        <v>11502.187585452562</v>
      </c>
      <c r="O63" s="3">
        <f>SUM(day_cash[[#This Row],[Cumulative Labor]:[Cumulative Other]])</f>
        <v>152597.67137285374</v>
      </c>
      <c r="P63" s="3">
        <f>SUM(day_cash[[#Headers],[Revenue]]:day_cash[[#This Row],[Revenue]])</f>
        <v>0</v>
      </c>
    </row>
    <row r="64" spans="2:16" x14ac:dyDescent="0.45">
      <c r="B64" s="1">
        <v>46447</v>
      </c>
      <c r="C64" s="4">
        <f>SUMIFS(schedule[Labor CPP], schedule[Start Date],"&lt;="&amp;day_cash[[#This Row],[Date]], schedule[Finish Date],"&gt;="&amp;day_cash[[#This Row],[Date]])</f>
        <v>2917.08043694141</v>
      </c>
      <c r="D64" s="4">
        <f>SUMIFS(schedule[Material CPP], schedule[Start Date],"&lt;="&amp;day_cash[[#This Row],[Date]]-$D$2, schedule[Finish Date],"&gt;="&amp;day_cash[[#This Row],[Date]]-$D$2)</f>
        <v>326.08695652173913</v>
      </c>
      <c r="E64" s="4">
        <f>SUMIFS(schedule[Equipment CPP], schedule[Start Date],"&lt;="&amp;day_cash[[#This Row],[Date]]-$E$2, schedule[Finish Date],"&gt;="&amp;day_cash[[#This Row],[Date]]-$E$2)</f>
        <v>471.69811320754718</v>
      </c>
      <c r="F64" s="4">
        <f>SUMIFS(schedule[Sub CPP], schedule[Start Date],"&lt;="&amp;day_cash[[#This Row],[Date]]-$F$2, schedule[Finish Date],"&gt;="&amp;day_cash[[#This Row],[Date]]-$F$2)</f>
        <v>0</v>
      </c>
      <c r="G64" s="3">
        <f>SUMIFS(schedule[Other CPP], schedule[Start Date],"&lt;="&amp;day_cash[[#This Row],[Date]]-$G$2, schedule[Finish Date],"&gt;="&amp;day_cash[[#This Row],[Date]]-$G$2)</f>
        <v>499.24801750068366</v>
      </c>
      <c r="H64" s="3">
        <f>SUM(day_cash[[#This Row],[Labor Cost]:[Other Cost]])</f>
        <v>4214.11352417138</v>
      </c>
      <c r="I64" s="3">
        <f>SUMIFS(schedule[Revenue per Day], schedule[Start Date],"&lt;="&amp;day_cash[[#This Row],[Date]]-$I$2, schedule[Finish Date],"&gt;="&amp;day_cash[[#This Row],[Date]]-$I$2)</f>
        <v>0</v>
      </c>
      <c r="J64" s="3">
        <f>SUM(day_cash[[#Headers],[Labor Cost]]:day_cash[[#This Row],[Labor Cost]])</f>
        <v>125878.84806355507</v>
      </c>
      <c r="K64" s="3">
        <f>SUM(day_cash[[#Headers],[Material Cost]]:day_cash[[#This Row],[Material Cost]])</f>
        <v>6195.6521739130421</v>
      </c>
      <c r="L64" s="3">
        <f>SUM(day_cash[[#Headers],[Equipment Cost]]:day_cash[[#This Row],[Equipment Cost]])</f>
        <v>12735.849056603773</v>
      </c>
      <c r="M64" s="3">
        <f>SUM(day_cash[[#Headers],[Sub Cost]]:day_cash[[#This Row],[Sub Cost]])</f>
        <v>0</v>
      </c>
      <c r="N64" s="3">
        <f>SUM(day_cash[[#Headers],[Other Cost]]:day_cash[[#This Row],[Other Cost]])</f>
        <v>12001.435602953246</v>
      </c>
      <c r="O64" s="3">
        <f>SUM(day_cash[[#This Row],[Cumulative Labor]:[Cumulative Other]])</f>
        <v>156811.78489702512</v>
      </c>
      <c r="P64" s="3">
        <f>SUM(day_cash[[#Headers],[Revenue]]:day_cash[[#This Row],[Revenue]])</f>
        <v>0</v>
      </c>
    </row>
    <row r="65" spans="2:16" x14ac:dyDescent="0.45">
      <c r="B65" s="1">
        <v>46448</v>
      </c>
      <c r="C65" s="4">
        <f>SUMIFS(schedule[Labor CPP], schedule[Start Date],"&lt;="&amp;day_cash[[#This Row],[Date]], schedule[Finish Date],"&gt;="&amp;day_cash[[#This Row],[Date]])</f>
        <v>2917.08043694141</v>
      </c>
      <c r="D65" s="4">
        <f>SUMIFS(schedule[Material CPP], schedule[Start Date],"&lt;="&amp;day_cash[[#This Row],[Date]]-$D$2, schedule[Finish Date],"&gt;="&amp;day_cash[[#This Row],[Date]]-$D$2)</f>
        <v>326.08695652173913</v>
      </c>
      <c r="E65" s="4">
        <f>SUMIFS(schedule[Equipment CPP], schedule[Start Date],"&lt;="&amp;day_cash[[#This Row],[Date]]-$E$2, schedule[Finish Date],"&gt;="&amp;day_cash[[#This Row],[Date]]-$E$2)</f>
        <v>471.69811320754718</v>
      </c>
      <c r="F65" s="4">
        <f>SUMIFS(schedule[Sub CPP], schedule[Start Date],"&lt;="&amp;day_cash[[#This Row],[Date]]-$F$2, schedule[Finish Date],"&gt;="&amp;day_cash[[#This Row],[Date]]-$F$2)</f>
        <v>0</v>
      </c>
      <c r="G65" s="3">
        <f>SUMIFS(schedule[Other CPP], schedule[Start Date],"&lt;="&amp;day_cash[[#This Row],[Date]]-$G$2, schedule[Finish Date],"&gt;="&amp;day_cash[[#This Row],[Date]]-$G$2)</f>
        <v>499.24801750068366</v>
      </c>
      <c r="H65" s="3">
        <f>SUM(day_cash[[#This Row],[Labor Cost]:[Other Cost]])</f>
        <v>4214.11352417138</v>
      </c>
      <c r="I65" s="3">
        <f>SUMIFS(schedule[Revenue per Day], schedule[Start Date],"&lt;="&amp;day_cash[[#This Row],[Date]]-$I$2, schedule[Finish Date],"&gt;="&amp;day_cash[[#This Row],[Date]]-$I$2)</f>
        <v>0</v>
      </c>
      <c r="J65" s="3">
        <f>SUM(day_cash[[#Headers],[Labor Cost]]:day_cash[[#This Row],[Labor Cost]])</f>
        <v>128795.92850049648</v>
      </c>
      <c r="K65" s="3">
        <f>SUM(day_cash[[#Headers],[Material Cost]]:day_cash[[#This Row],[Material Cost]])</f>
        <v>6521.7391304347811</v>
      </c>
      <c r="L65" s="3">
        <f>SUM(day_cash[[#Headers],[Equipment Cost]]:day_cash[[#This Row],[Equipment Cost]])</f>
        <v>13207.54716981132</v>
      </c>
      <c r="M65" s="3">
        <f>SUM(day_cash[[#Headers],[Sub Cost]]:day_cash[[#This Row],[Sub Cost]])</f>
        <v>0</v>
      </c>
      <c r="N65" s="3">
        <f>SUM(day_cash[[#Headers],[Other Cost]]:day_cash[[#This Row],[Other Cost]])</f>
        <v>12500.68362045393</v>
      </c>
      <c r="O65" s="3">
        <f>SUM(day_cash[[#This Row],[Cumulative Labor]:[Cumulative Other]])</f>
        <v>161025.8984211965</v>
      </c>
      <c r="P65" s="3">
        <f>SUM(day_cash[[#Headers],[Revenue]]:day_cash[[#This Row],[Revenue]])</f>
        <v>0</v>
      </c>
    </row>
    <row r="66" spans="2:16" x14ac:dyDescent="0.45">
      <c r="B66" s="1">
        <v>46449</v>
      </c>
      <c r="C66" s="4">
        <f>SUMIFS(schedule[Labor CPP], schedule[Start Date],"&lt;="&amp;day_cash[[#This Row],[Date]], schedule[Finish Date],"&gt;="&amp;day_cash[[#This Row],[Date]])</f>
        <v>2917.08043694141</v>
      </c>
      <c r="D66" s="4">
        <f>SUMIFS(schedule[Material CPP], schedule[Start Date],"&lt;="&amp;day_cash[[#This Row],[Date]]-$D$2, schedule[Finish Date],"&gt;="&amp;day_cash[[#This Row],[Date]]-$D$2)</f>
        <v>326.08695652173913</v>
      </c>
      <c r="E66" s="4">
        <f>SUMIFS(schedule[Equipment CPP], schedule[Start Date],"&lt;="&amp;day_cash[[#This Row],[Date]]-$E$2, schedule[Finish Date],"&gt;="&amp;day_cash[[#This Row],[Date]]-$E$2)</f>
        <v>471.69811320754718</v>
      </c>
      <c r="F66" s="4">
        <f>SUMIFS(schedule[Sub CPP], schedule[Start Date],"&lt;="&amp;day_cash[[#This Row],[Date]]-$F$2, schedule[Finish Date],"&gt;="&amp;day_cash[[#This Row],[Date]]-$F$2)</f>
        <v>0</v>
      </c>
      <c r="G66" s="3">
        <f>SUMIFS(schedule[Other CPP], schedule[Start Date],"&lt;="&amp;day_cash[[#This Row],[Date]]-$G$2, schedule[Finish Date],"&gt;="&amp;day_cash[[#This Row],[Date]]-$G$2)</f>
        <v>499.24801750068366</v>
      </c>
      <c r="H66" s="3">
        <f>SUM(day_cash[[#This Row],[Labor Cost]:[Other Cost]])</f>
        <v>4214.11352417138</v>
      </c>
      <c r="I66" s="3">
        <f>SUMIFS(schedule[Revenue per Day], schedule[Start Date],"&lt;="&amp;day_cash[[#This Row],[Date]]-$I$2, schedule[Finish Date],"&gt;="&amp;day_cash[[#This Row],[Date]]-$I$2)</f>
        <v>0</v>
      </c>
      <c r="J66" s="3">
        <f>SUM(day_cash[[#Headers],[Labor Cost]]:day_cash[[#This Row],[Labor Cost]])</f>
        <v>131713.00893743787</v>
      </c>
      <c r="K66" s="3">
        <f>SUM(day_cash[[#Headers],[Material Cost]]:day_cash[[#This Row],[Material Cost]])</f>
        <v>6847.8260869565202</v>
      </c>
      <c r="L66" s="3">
        <f>SUM(day_cash[[#Headers],[Equipment Cost]]:day_cash[[#This Row],[Equipment Cost]])</f>
        <v>13679.245283018867</v>
      </c>
      <c r="M66" s="3">
        <f>SUM(day_cash[[#Headers],[Sub Cost]]:day_cash[[#This Row],[Sub Cost]])</f>
        <v>0</v>
      </c>
      <c r="N66" s="3">
        <f>SUM(day_cash[[#Headers],[Other Cost]]:day_cash[[#This Row],[Other Cost]])</f>
        <v>12999.931637954614</v>
      </c>
      <c r="O66" s="3">
        <f>SUM(day_cash[[#This Row],[Cumulative Labor]:[Cumulative Other]])</f>
        <v>165240.01194536785</v>
      </c>
      <c r="P66" s="3">
        <f>SUM(day_cash[[#Headers],[Revenue]]:day_cash[[#This Row],[Revenue]])</f>
        <v>0</v>
      </c>
    </row>
    <row r="67" spans="2:16" x14ac:dyDescent="0.45">
      <c r="B67" s="1">
        <v>46450</v>
      </c>
      <c r="C67" s="4">
        <f>SUMIFS(schedule[Labor CPP], schedule[Start Date],"&lt;="&amp;day_cash[[#This Row],[Date]], schedule[Finish Date],"&gt;="&amp;day_cash[[#This Row],[Date]])</f>
        <v>2917.08043694141</v>
      </c>
      <c r="D67" s="4">
        <f>SUMIFS(schedule[Material CPP], schedule[Start Date],"&lt;="&amp;day_cash[[#This Row],[Date]]-$D$2, schedule[Finish Date],"&gt;="&amp;day_cash[[#This Row],[Date]]-$D$2)</f>
        <v>326.08695652173913</v>
      </c>
      <c r="E67" s="4">
        <f>SUMIFS(schedule[Equipment CPP], schedule[Start Date],"&lt;="&amp;day_cash[[#This Row],[Date]]-$E$2, schedule[Finish Date],"&gt;="&amp;day_cash[[#This Row],[Date]]-$E$2)</f>
        <v>471.69811320754718</v>
      </c>
      <c r="F67" s="4">
        <f>SUMIFS(schedule[Sub CPP], schedule[Start Date],"&lt;="&amp;day_cash[[#This Row],[Date]]-$F$2, schedule[Finish Date],"&gt;="&amp;day_cash[[#This Row],[Date]]-$F$2)</f>
        <v>0</v>
      </c>
      <c r="G67" s="3">
        <f>SUMIFS(schedule[Other CPP], schedule[Start Date],"&lt;="&amp;day_cash[[#This Row],[Date]]-$G$2, schedule[Finish Date],"&gt;="&amp;day_cash[[#This Row],[Date]]-$G$2)</f>
        <v>499.24801750068366</v>
      </c>
      <c r="H67" s="3">
        <f>SUM(day_cash[[#This Row],[Labor Cost]:[Other Cost]])</f>
        <v>4214.11352417138</v>
      </c>
      <c r="I67" s="3">
        <f>SUMIFS(schedule[Revenue per Day], schedule[Start Date],"&lt;="&amp;day_cash[[#This Row],[Date]]-$I$2, schedule[Finish Date],"&gt;="&amp;day_cash[[#This Row],[Date]]-$I$2)</f>
        <v>0</v>
      </c>
      <c r="J67" s="3">
        <f>SUM(day_cash[[#Headers],[Labor Cost]]:day_cash[[#This Row],[Labor Cost]])</f>
        <v>134630.08937437928</v>
      </c>
      <c r="K67" s="3">
        <f>SUM(day_cash[[#Headers],[Material Cost]]:day_cash[[#This Row],[Material Cost]])</f>
        <v>7173.9130434782592</v>
      </c>
      <c r="L67" s="3">
        <f>SUM(day_cash[[#Headers],[Equipment Cost]]:day_cash[[#This Row],[Equipment Cost]])</f>
        <v>14150.943396226414</v>
      </c>
      <c r="M67" s="3">
        <f>SUM(day_cash[[#Headers],[Sub Cost]]:day_cash[[#This Row],[Sub Cost]])</f>
        <v>0</v>
      </c>
      <c r="N67" s="3">
        <f>SUM(day_cash[[#Headers],[Other Cost]]:day_cash[[#This Row],[Other Cost]])</f>
        <v>13499.179655455298</v>
      </c>
      <c r="O67" s="3">
        <f>SUM(day_cash[[#This Row],[Cumulative Labor]:[Cumulative Other]])</f>
        <v>169454.12546953926</v>
      </c>
      <c r="P67" s="3">
        <f>SUM(day_cash[[#Headers],[Revenue]]:day_cash[[#This Row],[Revenue]])</f>
        <v>0</v>
      </c>
    </row>
    <row r="68" spans="2:16" x14ac:dyDescent="0.45">
      <c r="B68" s="1">
        <v>46451</v>
      </c>
      <c r="C68" s="4">
        <f>SUMIFS(schedule[Labor CPP], schedule[Start Date],"&lt;="&amp;day_cash[[#This Row],[Date]], schedule[Finish Date],"&gt;="&amp;day_cash[[#This Row],[Date]])</f>
        <v>6986.8478788018747</v>
      </c>
      <c r="D68" s="4">
        <f>SUMIFS(schedule[Material CPP], schedule[Start Date],"&lt;="&amp;day_cash[[#This Row],[Date]]-$D$2, schedule[Finish Date],"&gt;="&amp;day_cash[[#This Row],[Date]]-$D$2)</f>
        <v>326.08695652173913</v>
      </c>
      <c r="E68" s="4">
        <f>SUMIFS(schedule[Equipment CPP], schedule[Start Date],"&lt;="&amp;day_cash[[#This Row],[Date]]-$E$2, schedule[Finish Date],"&gt;="&amp;day_cash[[#This Row],[Date]]-$E$2)</f>
        <v>471.69811320754718</v>
      </c>
      <c r="F68" s="4">
        <f>SUMIFS(schedule[Sub CPP], schedule[Start Date],"&lt;="&amp;day_cash[[#This Row],[Date]]-$F$2, schedule[Finish Date],"&gt;="&amp;day_cash[[#This Row],[Date]]-$F$2)</f>
        <v>0</v>
      </c>
      <c r="G68" s="3">
        <f>SUMIFS(schedule[Other CPP], schedule[Start Date],"&lt;="&amp;day_cash[[#This Row],[Date]]-$G$2, schedule[Finish Date],"&gt;="&amp;day_cash[[#This Row],[Date]]-$G$2)</f>
        <v>499.24801750068366</v>
      </c>
      <c r="H68" s="3">
        <f>SUM(day_cash[[#This Row],[Labor Cost]:[Other Cost]])</f>
        <v>8283.8809660318439</v>
      </c>
      <c r="I68" s="3">
        <f>SUMIFS(schedule[Revenue per Day], schedule[Start Date],"&lt;="&amp;day_cash[[#This Row],[Date]]-$I$2, schedule[Finish Date],"&gt;="&amp;day_cash[[#This Row],[Date]]-$I$2)</f>
        <v>2092.7672955974845</v>
      </c>
      <c r="J68" s="3">
        <f>SUM(day_cash[[#Headers],[Labor Cost]]:day_cash[[#This Row],[Labor Cost]])</f>
        <v>141616.93725318115</v>
      </c>
      <c r="K68" s="3">
        <f>SUM(day_cash[[#Headers],[Material Cost]]:day_cash[[#This Row],[Material Cost]])</f>
        <v>7499.9999999999982</v>
      </c>
      <c r="L68" s="3">
        <f>SUM(day_cash[[#Headers],[Equipment Cost]]:day_cash[[#This Row],[Equipment Cost]])</f>
        <v>14622.641509433961</v>
      </c>
      <c r="M68" s="3">
        <f>SUM(day_cash[[#Headers],[Sub Cost]]:day_cash[[#This Row],[Sub Cost]])</f>
        <v>0</v>
      </c>
      <c r="N68" s="3">
        <f>SUM(day_cash[[#Headers],[Other Cost]]:day_cash[[#This Row],[Other Cost]])</f>
        <v>13998.427672955982</v>
      </c>
      <c r="O68" s="3">
        <f>SUM(day_cash[[#This Row],[Cumulative Labor]:[Cumulative Other]])</f>
        <v>177738.00643557109</v>
      </c>
      <c r="P68" s="3">
        <f>SUM(day_cash[[#Headers],[Revenue]]:day_cash[[#This Row],[Revenue]])</f>
        <v>2092.7672955974845</v>
      </c>
    </row>
    <row r="69" spans="2:16" x14ac:dyDescent="0.45">
      <c r="B69" s="1">
        <v>46452</v>
      </c>
      <c r="C69" s="4">
        <f>SUMIFS(schedule[Labor CPP], schedule[Start Date],"&lt;="&amp;day_cash[[#This Row],[Date]], schedule[Finish Date],"&gt;="&amp;day_cash[[#This Row],[Date]])</f>
        <v>5013.1636682755598</v>
      </c>
      <c r="D69" s="4">
        <f>SUMIFS(schedule[Material CPP], schedule[Start Date],"&lt;="&amp;day_cash[[#This Row],[Date]]-$D$2, schedule[Finish Date],"&gt;="&amp;day_cash[[#This Row],[Date]]-$D$2)</f>
        <v>326.08695652173913</v>
      </c>
      <c r="E69" s="4">
        <f>SUMIFS(schedule[Equipment CPP], schedule[Start Date],"&lt;="&amp;day_cash[[#This Row],[Date]]-$E$2, schedule[Finish Date],"&gt;="&amp;day_cash[[#This Row],[Date]]-$E$2)</f>
        <v>471.69811320754718</v>
      </c>
      <c r="F69" s="4">
        <f>SUMIFS(schedule[Sub CPP], schedule[Start Date],"&lt;="&amp;day_cash[[#This Row],[Date]]-$F$2, schedule[Finish Date],"&gt;="&amp;day_cash[[#This Row],[Date]]-$F$2)</f>
        <v>0</v>
      </c>
      <c r="G69" s="3">
        <f>SUMIFS(schedule[Other CPP], schedule[Start Date],"&lt;="&amp;day_cash[[#This Row],[Date]]-$G$2, schedule[Finish Date],"&gt;="&amp;day_cash[[#This Row],[Date]]-$G$2)</f>
        <v>499.24801750068366</v>
      </c>
      <c r="H69" s="3">
        <f>SUM(day_cash[[#This Row],[Labor Cost]:[Other Cost]])</f>
        <v>6310.1967555055298</v>
      </c>
      <c r="I69" s="3">
        <f>SUMIFS(schedule[Revenue per Day], schedule[Start Date],"&lt;="&amp;day_cash[[#This Row],[Date]]-$I$2, schedule[Finish Date],"&gt;="&amp;day_cash[[#This Row],[Date]]-$I$2)</f>
        <v>2092.7672955974845</v>
      </c>
      <c r="J69" s="3">
        <f>SUM(day_cash[[#Headers],[Labor Cost]]:day_cash[[#This Row],[Labor Cost]])</f>
        <v>146630.1009214567</v>
      </c>
      <c r="K69" s="3">
        <f>SUM(day_cash[[#Headers],[Material Cost]]:day_cash[[#This Row],[Material Cost]])</f>
        <v>7826.0869565217372</v>
      </c>
      <c r="L69" s="3">
        <f>SUM(day_cash[[#Headers],[Equipment Cost]]:day_cash[[#This Row],[Equipment Cost]])</f>
        <v>15094.339622641508</v>
      </c>
      <c r="M69" s="3">
        <f>SUM(day_cash[[#Headers],[Sub Cost]]:day_cash[[#This Row],[Sub Cost]])</f>
        <v>0</v>
      </c>
      <c r="N69" s="3">
        <f>SUM(day_cash[[#Headers],[Other Cost]]:day_cash[[#This Row],[Other Cost]])</f>
        <v>14497.675690456666</v>
      </c>
      <c r="O69" s="3">
        <f>SUM(day_cash[[#This Row],[Cumulative Labor]:[Cumulative Other]])</f>
        <v>184048.20319107661</v>
      </c>
      <c r="P69" s="3">
        <f>SUM(day_cash[[#Headers],[Revenue]]:day_cash[[#This Row],[Revenue]])</f>
        <v>4185.5345911949689</v>
      </c>
    </row>
    <row r="70" spans="2:16" x14ac:dyDescent="0.45">
      <c r="B70" s="1">
        <v>46453</v>
      </c>
      <c r="C70" s="4">
        <f>SUMIFS(schedule[Labor CPP], schedule[Start Date],"&lt;="&amp;day_cash[[#This Row],[Date]], schedule[Finish Date],"&gt;="&amp;day_cash[[#This Row],[Date]])</f>
        <v>5013.1636682755598</v>
      </c>
      <c r="D70" s="4">
        <f>SUMIFS(schedule[Material CPP], schedule[Start Date],"&lt;="&amp;day_cash[[#This Row],[Date]]-$D$2, schedule[Finish Date],"&gt;="&amp;day_cash[[#This Row],[Date]]-$D$2)</f>
        <v>326.08695652173913</v>
      </c>
      <c r="E70" s="4">
        <f>SUMIFS(schedule[Equipment CPP], schedule[Start Date],"&lt;="&amp;day_cash[[#This Row],[Date]]-$E$2, schedule[Finish Date],"&gt;="&amp;day_cash[[#This Row],[Date]]-$E$2)</f>
        <v>471.69811320754718</v>
      </c>
      <c r="F70" s="4">
        <f>SUMIFS(schedule[Sub CPP], schedule[Start Date],"&lt;="&amp;day_cash[[#This Row],[Date]]-$F$2, schedule[Finish Date],"&gt;="&amp;day_cash[[#This Row],[Date]]-$F$2)</f>
        <v>0</v>
      </c>
      <c r="G70" s="3">
        <f>SUMIFS(schedule[Other CPP], schedule[Start Date],"&lt;="&amp;day_cash[[#This Row],[Date]]-$G$2, schedule[Finish Date],"&gt;="&amp;day_cash[[#This Row],[Date]]-$G$2)</f>
        <v>499.24801750068366</v>
      </c>
      <c r="H70" s="3">
        <f>SUM(day_cash[[#This Row],[Labor Cost]:[Other Cost]])</f>
        <v>6310.1967555055298</v>
      </c>
      <c r="I70" s="3">
        <f>SUMIFS(schedule[Revenue per Day], schedule[Start Date],"&lt;="&amp;day_cash[[#This Row],[Date]]-$I$2, schedule[Finish Date],"&gt;="&amp;day_cash[[#This Row],[Date]]-$I$2)</f>
        <v>2092.7672955974845</v>
      </c>
      <c r="J70" s="3">
        <f>SUM(day_cash[[#Headers],[Labor Cost]]:day_cash[[#This Row],[Labor Cost]])</f>
        <v>151643.26458973225</v>
      </c>
      <c r="K70" s="3">
        <f>SUM(day_cash[[#Headers],[Material Cost]]:day_cash[[#This Row],[Material Cost]])</f>
        <v>8152.1739130434762</v>
      </c>
      <c r="L70" s="3">
        <f>SUM(day_cash[[#Headers],[Equipment Cost]]:day_cash[[#This Row],[Equipment Cost]])</f>
        <v>15566.037735849055</v>
      </c>
      <c r="M70" s="3">
        <f>SUM(day_cash[[#Headers],[Sub Cost]]:day_cash[[#This Row],[Sub Cost]])</f>
        <v>0</v>
      </c>
      <c r="N70" s="3">
        <f>SUM(day_cash[[#Headers],[Other Cost]]:day_cash[[#This Row],[Other Cost]])</f>
        <v>14996.92370795735</v>
      </c>
      <c r="O70" s="3">
        <f>SUM(day_cash[[#This Row],[Cumulative Labor]:[Cumulative Other]])</f>
        <v>190358.39994658215</v>
      </c>
      <c r="P70" s="3">
        <f>SUM(day_cash[[#Headers],[Revenue]]:day_cash[[#This Row],[Revenue]])</f>
        <v>6278.3018867924529</v>
      </c>
    </row>
    <row r="71" spans="2:16" x14ac:dyDescent="0.45">
      <c r="B71" s="1">
        <v>46454</v>
      </c>
      <c r="C71" s="4">
        <f>SUMIFS(schedule[Labor CPP], schedule[Start Date],"&lt;="&amp;day_cash[[#This Row],[Date]], schedule[Finish Date],"&gt;="&amp;day_cash[[#This Row],[Date]])</f>
        <v>5013.1636682755598</v>
      </c>
      <c r="D71" s="4">
        <f>SUMIFS(schedule[Material CPP], schedule[Start Date],"&lt;="&amp;day_cash[[#This Row],[Date]]-$D$2, schedule[Finish Date],"&gt;="&amp;day_cash[[#This Row],[Date]]-$D$2)</f>
        <v>326.08695652173913</v>
      </c>
      <c r="E71" s="4">
        <f>SUMIFS(schedule[Equipment CPP], schedule[Start Date],"&lt;="&amp;day_cash[[#This Row],[Date]]-$E$2, schedule[Finish Date],"&gt;="&amp;day_cash[[#This Row],[Date]]-$E$2)</f>
        <v>471.69811320754718</v>
      </c>
      <c r="F71" s="4">
        <f>SUMIFS(schedule[Sub CPP], schedule[Start Date],"&lt;="&amp;day_cash[[#This Row],[Date]]-$F$2, schedule[Finish Date],"&gt;="&amp;day_cash[[#This Row],[Date]]-$F$2)</f>
        <v>0</v>
      </c>
      <c r="G71" s="3">
        <f>SUMIFS(schedule[Other CPP], schedule[Start Date],"&lt;="&amp;day_cash[[#This Row],[Date]]-$G$2, schedule[Finish Date],"&gt;="&amp;day_cash[[#This Row],[Date]]-$G$2)</f>
        <v>499.24801750068366</v>
      </c>
      <c r="H71" s="3">
        <f>SUM(day_cash[[#This Row],[Labor Cost]:[Other Cost]])</f>
        <v>6310.1967555055298</v>
      </c>
      <c r="I71" s="3">
        <f>SUMIFS(schedule[Revenue per Day], schedule[Start Date],"&lt;="&amp;day_cash[[#This Row],[Date]]-$I$2, schedule[Finish Date],"&gt;="&amp;day_cash[[#This Row],[Date]]-$I$2)</f>
        <v>2092.7672955974845</v>
      </c>
      <c r="J71" s="3">
        <f>SUM(day_cash[[#Headers],[Labor Cost]]:day_cash[[#This Row],[Labor Cost]])</f>
        <v>156656.4282580078</v>
      </c>
      <c r="K71" s="3">
        <f>SUM(day_cash[[#Headers],[Material Cost]]:day_cash[[#This Row],[Material Cost]])</f>
        <v>8478.2608695652161</v>
      </c>
      <c r="L71" s="3">
        <f>SUM(day_cash[[#Headers],[Equipment Cost]]:day_cash[[#This Row],[Equipment Cost]])</f>
        <v>16037.735849056602</v>
      </c>
      <c r="M71" s="3">
        <f>SUM(day_cash[[#Headers],[Sub Cost]]:day_cash[[#This Row],[Sub Cost]])</f>
        <v>0</v>
      </c>
      <c r="N71" s="3">
        <f>SUM(day_cash[[#Headers],[Other Cost]]:day_cash[[#This Row],[Other Cost]])</f>
        <v>15496.171725458034</v>
      </c>
      <c r="O71" s="3">
        <f>SUM(day_cash[[#This Row],[Cumulative Labor]:[Cumulative Other]])</f>
        <v>196668.59670208764</v>
      </c>
      <c r="P71" s="3">
        <f>SUM(day_cash[[#Headers],[Revenue]]:day_cash[[#This Row],[Revenue]])</f>
        <v>8371.0691823899379</v>
      </c>
    </row>
    <row r="72" spans="2:16" x14ac:dyDescent="0.45">
      <c r="B72" s="1">
        <v>46455</v>
      </c>
      <c r="C72" s="4">
        <f>SUMIFS(schedule[Labor CPP], schedule[Start Date],"&lt;="&amp;day_cash[[#This Row],[Date]], schedule[Finish Date],"&gt;="&amp;day_cash[[#This Row],[Date]])</f>
        <v>5013.1636682755598</v>
      </c>
      <c r="D72" s="4">
        <f>SUMIFS(schedule[Material CPP], schedule[Start Date],"&lt;="&amp;day_cash[[#This Row],[Date]]-$D$2, schedule[Finish Date],"&gt;="&amp;day_cash[[#This Row],[Date]]-$D$2)</f>
        <v>326.08695652173913</v>
      </c>
      <c r="E72" s="4">
        <f>SUMIFS(schedule[Equipment CPP], schedule[Start Date],"&lt;="&amp;day_cash[[#This Row],[Date]]-$E$2, schedule[Finish Date],"&gt;="&amp;day_cash[[#This Row],[Date]]-$E$2)</f>
        <v>471.69811320754718</v>
      </c>
      <c r="F72" s="4">
        <f>SUMIFS(schedule[Sub CPP], schedule[Start Date],"&lt;="&amp;day_cash[[#This Row],[Date]]-$F$2, schedule[Finish Date],"&gt;="&amp;day_cash[[#This Row],[Date]]-$F$2)</f>
        <v>0</v>
      </c>
      <c r="G72" s="3">
        <f>SUMIFS(schedule[Other CPP], schedule[Start Date],"&lt;="&amp;day_cash[[#This Row],[Date]]-$G$2, schedule[Finish Date],"&gt;="&amp;day_cash[[#This Row],[Date]]-$G$2)</f>
        <v>499.24801750068366</v>
      </c>
      <c r="H72" s="3">
        <f>SUM(day_cash[[#This Row],[Labor Cost]:[Other Cost]])</f>
        <v>6310.1967555055298</v>
      </c>
      <c r="I72" s="3">
        <f>SUMIFS(schedule[Revenue per Day], schedule[Start Date],"&lt;="&amp;day_cash[[#This Row],[Date]]-$I$2, schedule[Finish Date],"&gt;="&amp;day_cash[[#This Row],[Date]]-$I$2)</f>
        <v>2092.7672955974845</v>
      </c>
      <c r="J72" s="3">
        <f>SUM(day_cash[[#Headers],[Labor Cost]]:day_cash[[#This Row],[Labor Cost]])</f>
        <v>161669.59192628335</v>
      </c>
      <c r="K72" s="3">
        <f>SUM(day_cash[[#Headers],[Material Cost]]:day_cash[[#This Row],[Material Cost]])</f>
        <v>8804.347826086956</v>
      </c>
      <c r="L72" s="3">
        <f>SUM(day_cash[[#Headers],[Equipment Cost]]:day_cash[[#This Row],[Equipment Cost]])</f>
        <v>16509.433962264149</v>
      </c>
      <c r="M72" s="3">
        <f>SUM(day_cash[[#Headers],[Sub Cost]]:day_cash[[#This Row],[Sub Cost]])</f>
        <v>0</v>
      </c>
      <c r="N72" s="3">
        <f>SUM(day_cash[[#Headers],[Other Cost]]:day_cash[[#This Row],[Other Cost]])</f>
        <v>15995.419742958718</v>
      </c>
      <c r="O72" s="3">
        <f>SUM(day_cash[[#This Row],[Cumulative Labor]:[Cumulative Other]])</f>
        <v>202978.79345759316</v>
      </c>
      <c r="P72" s="3">
        <f>SUM(day_cash[[#Headers],[Revenue]]:day_cash[[#This Row],[Revenue]])</f>
        <v>10463.836477987423</v>
      </c>
    </row>
    <row r="73" spans="2:16" x14ac:dyDescent="0.45">
      <c r="B73" s="1">
        <v>46456</v>
      </c>
      <c r="C73" s="4">
        <f>SUMIFS(schedule[Labor CPP], schedule[Start Date],"&lt;="&amp;day_cash[[#This Row],[Date]], schedule[Finish Date],"&gt;="&amp;day_cash[[#This Row],[Date]])</f>
        <v>5013.1636682755598</v>
      </c>
      <c r="D73" s="4">
        <f>SUMIFS(schedule[Material CPP], schedule[Start Date],"&lt;="&amp;day_cash[[#This Row],[Date]]-$D$2, schedule[Finish Date],"&gt;="&amp;day_cash[[#This Row],[Date]]-$D$2)</f>
        <v>326.08695652173913</v>
      </c>
      <c r="E73" s="4">
        <f>SUMIFS(schedule[Equipment CPP], schedule[Start Date],"&lt;="&amp;day_cash[[#This Row],[Date]]-$E$2, schedule[Finish Date],"&gt;="&amp;day_cash[[#This Row],[Date]]-$E$2)</f>
        <v>471.69811320754718</v>
      </c>
      <c r="F73" s="4">
        <f>SUMIFS(schedule[Sub CPP], schedule[Start Date],"&lt;="&amp;day_cash[[#This Row],[Date]]-$F$2, schedule[Finish Date],"&gt;="&amp;day_cash[[#This Row],[Date]]-$F$2)</f>
        <v>0</v>
      </c>
      <c r="G73" s="3">
        <f>SUMIFS(schedule[Other CPP], schedule[Start Date],"&lt;="&amp;day_cash[[#This Row],[Date]]-$G$2, schedule[Finish Date],"&gt;="&amp;day_cash[[#This Row],[Date]]-$G$2)</f>
        <v>499.24801750068366</v>
      </c>
      <c r="H73" s="3">
        <f>SUM(day_cash[[#This Row],[Labor Cost]:[Other Cost]])</f>
        <v>6310.1967555055298</v>
      </c>
      <c r="I73" s="3">
        <f>SUMIFS(schedule[Revenue per Day], schedule[Start Date],"&lt;="&amp;day_cash[[#This Row],[Date]]-$I$2, schedule[Finish Date],"&gt;="&amp;day_cash[[#This Row],[Date]]-$I$2)</f>
        <v>2092.7672955974845</v>
      </c>
      <c r="J73" s="3">
        <f>SUM(day_cash[[#Headers],[Labor Cost]]:day_cash[[#This Row],[Labor Cost]])</f>
        <v>166682.7555945589</v>
      </c>
      <c r="K73" s="3">
        <f>SUM(day_cash[[#Headers],[Material Cost]]:day_cash[[#This Row],[Material Cost]])</f>
        <v>9130.434782608696</v>
      </c>
      <c r="L73" s="3">
        <f>SUM(day_cash[[#Headers],[Equipment Cost]]:day_cash[[#This Row],[Equipment Cost]])</f>
        <v>16981.132075471698</v>
      </c>
      <c r="M73" s="3">
        <f>SUM(day_cash[[#Headers],[Sub Cost]]:day_cash[[#This Row],[Sub Cost]])</f>
        <v>0</v>
      </c>
      <c r="N73" s="3">
        <f>SUM(day_cash[[#Headers],[Other Cost]]:day_cash[[#This Row],[Other Cost]])</f>
        <v>16494.667760459401</v>
      </c>
      <c r="O73" s="3">
        <f>SUM(day_cash[[#This Row],[Cumulative Labor]:[Cumulative Other]])</f>
        <v>209288.9902130987</v>
      </c>
      <c r="P73" s="3">
        <f>SUM(day_cash[[#Headers],[Revenue]]:day_cash[[#This Row],[Revenue]])</f>
        <v>12556.603773584908</v>
      </c>
    </row>
    <row r="74" spans="2:16" x14ac:dyDescent="0.45">
      <c r="B74" s="1">
        <v>46457</v>
      </c>
      <c r="C74" s="4">
        <f>SUMIFS(schedule[Labor CPP], schedule[Start Date],"&lt;="&amp;day_cash[[#This Row],[Date]], schedule[Finish Date],"&gt;="&amp;day_cash[[#This Row],[Date]])</f>
        <v>5013.1636682755598</v>
      </c>
      <c r="D74" s="4">
        <f>SUMIFS(schedule[Material CPP], schedule[Start Date],"&lt;="&amp;day_cash[[#This Row],[Date]]-$D$2, schedule[Finish Date],"&gt;="&amp;day_cash[[#This Row],[Date]]-$D$2)</f>
        <v>326.08695652173913</v>
      </c>
      <c r="E74" s="4">
        <f>SUMIFS(schedule[Equipment CPP], schedule[Start Date],"&lt;="&amp;day_cash[[#This Row],[Date]]-$E$2, schedule[Finish Date],"&gt;="&amp;day_cash[[#This Row],[Date]]-$E$2)</f>
        <v>471.69811320754718</v>
      </c>
      <c r="F74" s="4">
        <f>SUMIFS(schedule[Sub CPP], schedule[Start Date],"&lt;="&amp;day_cash[[#This Row],[Date]]-$F$2, schedule[Finish Date],"&gt;="&amp;day_cash[[#This Row],[Date]]-$F$2)</f>
        <v>0</v>
      </c>
      <c r="G74" s="3">
        <f>SUMIFS(schedule[Other CPP], schedule[Start Date],"&lt;="&amp;day_cash[[#This Row],[Date]]-$G$2, schedule[Finish Date],"&gt;="&amp;day_cash[[#This Row],[Date]]-$G$2)</f>
        <v>499.24801750068366</v>
      </c>
      <c r="H74" s="3">
        <f>SUM(day_cash[[#This Row],[Labor Cost]:[Other Cost]])</f>
        <v>6310.1967555055298</v>
      </c>
      <c r="I74" s="3">
        <f>SUMIFS(schedule[Revenue per Day], schedule[Start Date],"&lt;="&amp;day_cash[[#This Row],[Date]]-$I$2, schedule[Finish Date],"&gt;="&amp;day_cash[[#This Row],[Date]]-$I$2)</f>
        <v>2092.7672955974845</v>
      </c>
      <c r="J74" s="3">
        <f>SUM(day_cash[[#Headers],[Labor Cost]]:day_cash[[#This Row],[Labor Cost]])</f>
        <v>171695.91926283445</v>
      </c>
      <c r="K74" s="3">
        <f>SUM(day_cash[[#Headers],[Material Cost]]:day_cash[[#This Row],[Material Cost]])</f>
        <v>9456.5217391304359</v>
      </c>
      <c r="L74" s="3">
        <f>SUM(day_cash[[#Headers],[Equipment Cost]]:day_cash[[#This Row],[Equipment Cost]])</f>
        <v>17452.830188679247</v>
      </c>
      <c r="M74" s="3">
        <f>SUM(day_cash[[#Headers],[Sub Cost]]:day_cash[[#This Row],[Sub Cost]])</f>
        <v>0</v>
      </c>
      <c r="N74" s="3">
        <f>SUM(day_cash[[#Headers],[Other Cost]]:day_cash[[#This Row],[Other Cost]])</f>
        <v>16993.915777960083</v>
      </c>
      <c r="O74" s="3">
        <f>SUM(day_cash[[#This Row],[Cumulative Labor]:[Cumulative Other]])</f>
        <v>215599.18696860422</v>
      </c>
      <c r="P74" s="3">
        <f>SUM(day_cash[[#Headers],[Revenue]]:day_cash[[#This Row],[Revenue]])</f>
        <v>14649.371069182393</v>
      </c>
    </row>
    <row r="75" spans="2:16" x14ac:dyDescent="0.45">
      <c r="B75" s="1">
        <v>46458</v>
      </c>
      <c r="C75" s="4">
        <f>SUMIFS(schedule[Labor CPP], schedule[Start Date],"&lt;="&amp;day_cash[[#This Row],[Date]], schedule[Finish Date],"&gt;="&amp;day_cash[[#This Row],[Date]])</f>
        <v>5013.1636682755598</v>
      </c>
      <c r="D75" s="4">
        <f>SUMIFS(schedule[Material CPP], schedule[Start Date],"&lt;="&amp;day_cash[[#This Row],[Date]]-$D$2, schedule[Finish Date],"&gt;="&amp;day_cash[[#This Row],[Date]]-$D$2)</f>
        <v>326.08695652173913</v>
      </c>
      <c r="E75" s="4">
        <f>SUMIFS(schedule[Equipment CPP], schedule[Start Date],"&lt;="&amp;day_cash[[#This Row],[Date]]-$E$2, schedule[Finish Date],"&gt;="&amp;day_cash[[#This Row],[Date]]-$E$2)</f>
        <v>471.69811320754718</v>
      </c>
      <c r="F75" s="4">
        <f>SUMIFS(schedule[Sub CPP], schedule[Start Date],"&lt;="&amp;day_cash[[#This Row],[Date]]-$F$2, schedule[Finish Date],"&gt;="&amp;day_cash[[#This Row],[Date]]-$F$2)</f>
        <v>0</v>
      </c>
      <c r="G75" s="3">
        <f>SUMIFS(schedule[Other CPP], schedule[Start Date],"&lt;="&amp;day_cash[[#This Row],[Date]]-$G$2, schedule[Finish Date],"&gt;="&amp;day_cash[[#This Row],[Date]]-$G$2)</f>
        <v>499.24801750068366</v>
      </c>
      <c r="H75" s="3">
        <f>SUM(day_cash[[#This Row],[Labor Cost]:[Other Cost]])</f>
        <v>6310.1967555055298</v>
      </c>
      <c r="I75" s="3">
        <f>SUMIFS(schedule[Revenue per Day], schedule[Start Date],"&lt;="&amp;day_cash[[#This Row],[Date]]-$I$2, schedule[Finish Date],"&gt;="&amp;day_cash[[#This Row],[Date]]-$I$2)</f>
        <v>2092.7672955974845</v>
      </c>
      <c r="J75" s="3">
        <f>SUM(day_cash[[#Headers],[Labor Cost]]:day_cash[[#This Row],[Labor Cost]])</f>
        <v>176709.08293111</v>
      </c>
      <c r="K75" s="3">
        <f>SUM(day_cash[[#Headers],[Material Cost]]:day_cash[[#This Row],[Material Cost]])</f>
        <v>9782.6086956521758</v>
      </c>
      <c r="L75" s="3">
        <f>SUM(day_cash[[#Headers],[Equipment Cost]]:day_cash[[#This Row],[Equipment Cost]])</f>
        <v>17924.528301886796</v>
      </c>
      <c r="M75" s="3">
        <f>SUM(day_cash[[#Headers],[Sub Cost]]:day_cash[[#This Row],[Sub Cost]])</f>
        <v>0</v>
      </c>
      <c r="N75" s="3">
        <f>SUM(day_cash[[#Headers],[Other Cost]]:day_cash[[#This Row],[Other Cost]])</f>
        <v>17493.163795460765</v>
      </c>
      <c r="O75" s="3">
        <f>SUM(day_cash[[#This Row],[Cumulative Labor]:[Cumulative Other]])</f>
        <v>221909.38372410974</v>
      </c>
      <c r="P75" s="3">
        <f>SUM(day_cash[[#Headers],[Revenue]]:day_cash[[#This Row],[Revenue]])</f>
        <v>16742.138364779876</v>
      </c>
    </row>
    <row r="76" spans="2:16" x14ac:dyDescent="0.45">
      <c r="B76" s="1">
        <v>46459</v>
      </c>
      <c r="C76" s="4">
        <f>SUMIFS(schedule[Labor CPP], schedule[Start Date],"&lt;="&amp;day_cash[[#This Row],[Date]], schedule[Finish Date],"&gt;="&amp;day_cash[[#This Row],[Date]])</f>
        <v>5013.1636682755598</v>
      </c>
      <c r="D76" s="4">
        <f>SUMIFS(schedule[Material CPP], schedule[Start Date],"&lt;="&amp;day_cash[[#This Row],[Date]]-$D$2, schedule[Finish Date],"&gt;="&amp;day_cash[[#This Row],[Date]]-$D$2)</f>
        <v>326.08695652173913</v>
      </c>
      <c r="E76" s="4">
        <f>SUMIFS(schedule[Equipment CPP], schedule[Start Date],"&lt;="&amp;day_cash[[#This Row],[Date]]-$E$2, schedule[Finish Date],"&gt;="&amp;day_cash[[#This Row],[Date]]-$E$2)</f>
        <v>471.69811320754718</v>
      </c>
      <c r="F76" s="4">
        <f>SUMIFS(schedule[Sub CPP], schedule[Start Date],"&lt;="&amp;day_cash[[#This Row],[Date]]-$F$2, schedule[Finish Date],"&gt;="&amp;day_cash[[#This Row],[Date]]-$F$2)</f>
        <v>0</v>
      </c>
      <c r="G76" s="3">
        <f>SUMIFS(schedule[Other CPP], schedule[Start Date],"&lt;="&amp;day_cash[[#This Row],[Date]]-$G$2, schedule[Finish Date],"&gt;="&amp;day_cash[[#This Row],[Date]]-$G$2)</f>
        <v>499.24801750068366</v>
      </c>
      <c r="H76" s="3">
        <f>SUM(day_cash[[#This Row],[Labor Cost]:[Other Cost]])</f>
        <v>6310.1967555055298</v>
      </c>
      <c r="I76" s="3">
        <f>SUMIFS(schedule[Revenue per Day], schedule[Start Date],"&lt;="&amp;day_cash[[#This Row],[Date]]-$I$2, schedule[Finish Date],"&gt;="&amp;day_cash[[#This Row],[Date]]-$I$2)</f>
        <v>3771.4629477713975</v>
      </c>
      <c r="J76" s="3">
        <f>SUM(day_cash[[#Headers],[Labor Cost]]:day_cash[[#This Row],[Labor Cost]])</f>
        <v>181722.24659938554</v>
      </c>
      <c r="K76" s="3">
        <f>SUM(day_cash[[#Headers],[Material Cost]]:day_cash[[#This Row],[Material Cost]])</f>
        <v>10108.695652173916</v>
      </c>
      <c r="L76" s="3">
        <f>SUM(day_cash[[#Headers],[Equipment Cost]]:day_cash[[#This Row],[Equipment Cost]])</f>
        <v>18396.226415094345</v>
      </c>
      <c r="M76" s="3">
        <f>SUM(day_cash[[#Headers],[Sub Cost]]:day_cash[[#This Row],[Sub Cost]])</f>
        <v>0</v>
      </c>
      <c r="N76" s="3">
        <f>SUM(day_cash[[#Headers],[Other Cost]]:day_cash[[#This Row],[Other Cost]])</f>
        <v>17992.411812961447</v>
      </c>
      <c r="O76" s="3">
        <f>SUM(day_cash[[#This Row],[Cumulative Labor]:[Cumulative Other]])</f>
        <v>228219.58047961525</v>
      </c>
      <c r="P76" s="3">
        <f>SUM(day_cash[[#Headers],[Revenue]]:day_cash[[#This Row],[Revenue]])</f>
        <v>20513.601312551273</v>
      </c>
    </row>
    <row r="77" spans="2:16" x14ac:dyDescent="0.45">
      <c r="B77" s="1">
        <v>46460</v>
      </c>
      <c r="C77" s="4">
        <f>SUMIFS(schedule[Labor CPP], schedule[Start Date],"&lt;="&amp;day_cash[[#This Row],[Date]], schedule[Finish Date],"&gt;="&amp;day_cash[[#This Row],[Date]])</f>
        <v>5013.1636682755598</v>
      </c>
      <c r="D77" s="4">
        <f>SUMIFS(schedule[Material CPP], schedule[Start Date],"&lt;="&amp;day_cash[[#This Row],[Date]]-$D$2, schedule[Finish Date],"&gt;="&amp;day_cash[[#This Row],[Date]]-$D$2)</f>
        <v>326.08695652173913</v>
      </c>
      <c r="E77" s="4">
        <f>SUMIFS(schedule[Equipment CPP], schedule[Start Date],"&lt;="&amp;day_cash[[#This Row],[Date]]-$E$2, schedule[Finish Date],"&gt;="&amp;day_cash[[#This Row],[Date]]-$E$2)</f>
        <v>471.69811320754718</v>
      </c>
      <c r="F77" s="4">
        <f>SUMIFS(schedule[Sub CPP], schedule[Start Date],"&lt;="&amp;day_cash[[#This Row],[Date]]-$F$2, schedule[Finish Date],"&gt;="&amp;day_cash[[#This Row],[Date]]-$F$2)</f>
        <v>0</v>
      </c>
      <c r="G77" s="3">
        <f>SUMIFS(schedule[Other CPP], schedule[Start Date],"&lt;="&amp;day_cash[[#This Row],[Date]]-$G$2, schedule[Finish Date],"&gt;="&amp;day_cash[[#This Row],[Date]]-$G$2)</f>
        <v>499.24801750068366</v>
      </c>
      <c r="H77" s="3">
        <f>SUM(day_cash[[#This Row],[Labor Cost]:[Other Cost]])</f>
        <v>6310.1967555055298</v>
      </c>
      <c r="I77" s="3">
        <f>SUMIFS(schedule[Revenue per Day], schedule[Start Date],"&lt;="&amp;day_cash[[#This Row],[Date]]-$I$2, schedule[Finish Date],"&gt;="&amp;day_cash[[#This Row],[Date]]-$I$2)</f>
        <v>3771.4629477713975</v>
      </c>
      <c r="J77" s="3">
        <f>SUM(day_cash[[#Headers],[Labor Cost]]:day_cash[[#This Row],[Labor Cost]])</f>
        <v>186735.41026766109</v>
      </c>
      <c r="K77" s="3">
        <f>SUM(day_cash[[#Headers],[Material Cost]]:day_cash[[#This Row],[Material Cost]])</f>
        <v>10434.782608695656</v>
      </c>
      <c r="L77" s="3">
        <f>SUM(day_cash[[#Headers],[Equipment Cost]]:day_cash[[#This Row],[Equipment Cost]])</f>
        <v>18867.924528301894</v>
      </c>
      <c r="M77" s="3">
        <f>SUM(day_cash[[#Headers],[Sub Cost]]:day_cash[[#This Row],[Sub Cost]])</f>
        <v>0</v>
      </c>
      <c r="N77" s="3">
        <f>SUM(day_cash[[#Headers],[Other Cost]]:day_cash[[#This Row],[Other Cost]])</f>
        <v>18491.659830462129</v>
      </c>
      <c r="O77" s="3">
        <f>SUM(day_cash[[#This Row],[Cumulative Labor]:[Cumulative Other]])</f>
        <v>234529.77723512077</v>
      </c>
      <c r="P77" s="3">
        <f>SUM(day_cash[[#Headers],[Revenue]]:day_cash[[#This Row],[Revenue]])</f>
        <v>24285.06426032267</v>
      </c>
    </row>
    <row r="78" spans="2:16" x14ac:dyDescent="0.45">
      <c r="B78" s="1">
        <v>46461</v>
      </c>
      <c r="C78" s="4">
        <f>SUMIFS(schedule[Labor CPP], schedule[Start Date],"&lt;="&amp;day_cash[[#This Row],[Date]], schedule[Finish Date],"&gt;="&amp;day_cash[[#This Row],[Date]])</f>
        <v>5013.1636682755598</v>
      </c>
      <c r="D78" s="4">
        <f>SUMIFS(schedule[Material CPP], schedule[Start Date],"&lt;="&amp;day_cash[[#This Row],[Date]]-$D$2, schedule[Finish Date],"&gt;="&amp;day_cash[[#This Row],[Date]]-$D$2)</f>
        <v>326.08695652173913</v>
      </c>
      <c r="E78" s="4">
        <f>SUMIFS(schedule[Equipment CPP], schedule[Start Date],"&lt;="&amp;day_cash[[#This Row],[Date]]-$E$2, schedule[Finish Date],"&gt;="&amp;day_cash[[#This Row],[Date]]-$E$2)</f>
        <v>471.69811320754718</v>
      </c>
      <c r="F78" s="4">
        <f>SUMIFS(schedule[Sub CPP], schedule[Start Date],"&lt;="&amp;day_cash[[#This Row],[Date]]-$F$2, schedule[Finish Date],"&gt;="&amp;day_cash[[#This Row],[Date]]-$F$2)</f>
        <v>0</v>
      </c>
      <c r="G78" s="3">
        <f>SUMIFS(schedule[Other CPP], schedule[Start Date],"&lt;="&amp;day_cash[[#This Row],[Date]]-$G$2, schedule[Finish Date],"&gt;="&amp;day_cash[[#This Row],[Date]]-$G$2)</f>
        <v>499.24801750068366</v>
      </c>
      <c r="H78" s="3">
        <f>SUM(day_cash[[#This Row],[Labor Cost]:[Other Cost]])</f>
        <v>6310.1967555055298</v>
      </c>
      <c r="I78" s="3">
        <f>SUMIFS(schedule[Revenue per Day], schedule[Start Date],"&lt;="&amp;day_cash[[#This Row],[Date]]-$I$2, schedule[Finish Date],"&gt;="&amp;day_cash[[#This Row],[Date]]-$I$2)</f>
        <v>3771.4629477713975</v>
      </c>
      <c r="J78" s="3">
        <f>SUM(day_cash[[#Headers],[Labor Cost]]:day_cash[[#This Row],[Labor Cost]])</f>
        <v>191748.57393593664</v>
      </c>
      <c r="K78" s="3">
        <f>SUM(day_cash[[#Headers],[Material Cost]]:day_cash[[#This Row],[Material Cost]])</f>
        <v>10760.869565217396</v>
      </c>
      <c r="L78" s="3">
        <f>SUM(day_cash[[#Headers],[Equipment Cost]]:day_cash[[#This Row],[Equipment Cost]])</f>
        <v>19339.622641509442</v>
      </c>
      <c r="M78" s="3">
        <f>SUM(day_cash[[#Headers],[Sub Cost]]:day_cash[[#This Row],[Sub Cost]])</f>
        <v>0</v>
      </c>
      <c r="N78" s="3">
        <f>SUM(day_cash[[#Headers],[Other Cost]]:day_cash[[#This Row],[Other Cost]])</f>
        <v>18990.907847962812</v>
      </c>
      <c r="O78" s="3">
        <f>SUM(day_cash[[#This Row],[Cumulative Labor]:[Cumulative Other]])</f>
        <v>240839.97399062628</v>
      </c>
      <c r="P78" s="3">
        <f>SUM(day_cash[[#Headers],[Revenue]]:day_cash[[#This Row],[Revenue]])</f>
        <v>28056.527208094067</v>
      </c>
    </row>
    <row r="79" spans="2:16" x14ac:dyDescent="0.45">
      <c r="B79" s="1">
        <v>46462</v>
      </c>
      <c r="C79" s="4">
        <f>SUMIFS(schedule[Labor CPP], schedule[Start Date],"&lt;="&amp;day_cash[[#This Row],[Date]], schedule[Finish Date],"&gt;="&amp;day_cash[[#This Row],[Date]])</f>
        <v>5013.1636682755598</v>
      </c>
      <c r="D79" s="4">
        <f>SUMIFS(schedule[Material CPP], schedule[Start Date],"&lt;="&amp;day_cash[[#This Row],[Date]]-$D$2, schedule[Finish Date],"&gt;="&amp;day_cash[[#This Row],[Date]]-$D$2)</f>
        <v>326.08695652173913</v>
      </c>
      <c r="E79" s="4">
        <f>SUMIFS(schedule[Equipment CPP], schedule[Start Date],"&lt;="&amp;day_cash[[#This Row],[Date]]-$E$2, schedule[Finish Date],"&gt;="&amp;day_cash[[#This Row],[Date]]-$E$2)</f>
        <v>471.69811320754718</v>
      </c>
      <c r="F79" s="4">
        <f>SUMIFS(schedule[Sub CPP], schedule[Start Date],"&lt;="&amp;day_cash[[#This Row],[Date]]-$F$2, schedule[Finish Date],"&gt;="&amp;day_cash[[#This Row],[Date]]-$F$2)</f>
        <v>0</v>
      </c>
      <c r="G79" s="3">
        <f>SUMIFS(schedule[Other CPP], schedule[Start Date],"&lt;="&amp;day_cash[[#This Row],[Date]]-$G$2, schedule[Finish Date],"&gt;="&amp;day_cash[[#This Row],[Date]]-$G$2)</f>
        <v>499.24801750068366</v>
      </c>
      <c r="H79" s="3">
        <f>SUM(day_cash[[#This Row],[Labor Cost]:[Other Cost]])</f>
        <v>6310.1967555055298</v>
      </c>
      <c r="I79" s="3">
        <f>SUMIFS(schedule[Revenue per Day], schedule[Start Date],"&lt;="&amp;day_cash[[#This Row],[Date]]-$I$2, schedule[Finish Date],"&gt;="&amp;day_cash[[#This Row],[Date]]-$I$2)</f>
        <v>3771.4629477713975</v>
      </c>
      <c r="J79" s="3">
        <f>SUM(day_cash[[#Headers],[Labor Cost]]:day_cash[[#This Row],[Labor Cost]])</f>
        <v>196761.73760421219</v>
      </c>
      <c r="K79" s="3">
        <f>SUM(day_cash[[#Headers],[Material Cost]]:day_cash[[#This Row],[Material Cost]])</f>
        <v>11086.956521739135</v>
      </c>
      <c r="L79" s="3">
        <f>SUM(day_cash[[#Headers],[Equipment Cost]]:day_cash[[#This Row],[Equipment Cost]])</f>
        <v>19811.320754716991</v>
      </c>
      <c r="M79" s="3">
        <f>SUM(day_cash[[#Headers],[Sub Cost]]:day_cash[[#This Row],[Sub Cost]])</f>
        <v>0</v>
      </c>
      <c r="N79" s="3">
        <f>SUM(day_cash[[#Headers],[Other Cost]]:day_cash[[#This Row],[Other Cost]])</f>
        <v>19490.155865463494</v>
      </c>
      <c r="O79" s="3">
        <f>SUM(day_cash[[#This Row],[Cumulative Labor]:[Cumulative Other]])</f>
        <v>247150.1707461318</v>
      </c>
      <c r="P79" s="3">
        <f>SUM(day_cash[[#Headers],[Revenue]]:day_cash[[#This Row],[Revenue]])</f>
        <v>31827.990155865464</v>
      </c>
    </row>
    <row r="80" spans="2:16" x14ac:dyDescent="0.45">
      <c r="B80" s="1">
        <v>46463</v>
      </c>
      <c r="C80" s="4">
        <f>SUMIFS(schedule[Labor CPP], schedule[Start Date],"&lt;="&amp;day_cash[[#This Row],[Date]], schedule[Finish Date],"&gt;="&amp;day_cash[[#This Row],[Date]])</f>
        <v>5013.1636682755598</v>
      </c>
      <c r="D80" s="4">
        <f>SUMIFS(schedule[Material CPP], schedule[Start Date],"&lt;="&amp;day_cash[[#This Row],[Date]]-$D$2, schedule[Finish Date],"&gt;="&amp;day_cash[[#This Row],[Date]]-$D$2)</f>
        <v>1707.6659038901603</v>
      </c>
      <c r="E80" s="4">
        <f>SUMIFS(schedule[Equipment CPP], schedule[Start Date],"&lt;="&amp;day_cash[[#This Row],[Date]]-$E$2, schedule[Finish Date],"&gt;="&amp;day_cash[[#This Row],[Date]]-$E$2)</f>
        <v>761.17179741807354</v>
      </c>
      <c r="F80" s="4">
        <f>SUMIFS(schedule[Sub CPP], schedule[Start Date],"&lt;="&amp;day_cash[[#This Row],[Date]]-$F$2, schedule[Finish Date],"&gt;="&amp;day_cash[[#This Row],[Date]]-$F$2)</f>
        <v>0</v>
      </c>
      <c r="G80" s="3">
        <f>SUMIFS(schedule[Other CPP], schedule[Start Date],"&lt;="&amp;day_cash[[#This Row],[Date]]-$G$2, schedule[Finish Date],"&gt;="&amp;day_cash[[#This Row],[Date]]-$G$2)</f>
        <v>499.24801750068366</v>
      </c>
      <c r="H80" s="3">
        <f>SUM(day_cash[[#This Row],[Labor Cost]:[Other Cost]])</f>
        <v>7981.2493870844773</v>
      </c>
      <c r="I80" s="3">
        <f>SUMIFS(schedule[Revenue per Day], schedule[Start Date],"&lt;="&amp;day_cash[[#This Row],[Date]]-$I$2, schedule[Finish Date],"&gt;="&amp;day_cash[[#This Row],[Date]]-$I$2)</f>
        <v>3771.4629477713975</v>
      </c>
      <c r="J80" s="3">
        <f>SUM(day_cash[[#Headers],[Labor Cost]]:day_cash[[#This Row],[Labor Cost]])</f>
        <v>201774.90127248774</v>
      </c>
      <c r="K80" s="3">
        <f>SUM(day_cash[[#Headers],[Material Cost]]:day_cash[[#This Row],[Material Cost]])</f>
        <v>12794.622425629295</v>
      </c>
      <c r="L80" s="3">
        <f>SUM(day_cash[[#Headers],[Equipment Cost]]:day_cash[[#This Row],[Equipment Cost]])</f>
        <v>20572.492552135063</v>
      </c>
      <c r="M80" s="3">
        <f>SUM(day_cash[[#Headers],[Sub Cost]]:day_cash[[#This Row],[Sub Cost]])</f>
        <v>0</v>
      </c>
      <c r="N80" s="3">
        <f>SUM(day_cash[[#Headers],[Other Cost]]:day_cash[[#This Row],[Other Cost]])</f>
        <v>19989.403882964176</v>
      </c>
      <c r="O80" s="3">
        <f>SUM(day_cash[[#This Row],[Cumulative Labor]:[Cumulative Other]])</f>
        <v>255131.42013321625</v>
      </c>
      <c r="P80" s="3">
        <f>SUM(day_cash[[#Headers],[Revenue]]:day_cash[[#This Row],[Revenue]])</f>
        <v>35599.453103636864</v>
      </c>
    </row>
    <row r="81" spans="2:16" x14ac:dyDescent="0.45">
      <c r="B81" s="1">
        <v>46464</v>
      </c>
      <c r="C81" s="4">
        <f>SUMIFS(schedule[Labor CPP], schedule[Start Date],"&lt;="&amp;day_cash[[#This Row],[Date]], schedule[Finish Date],"&gt;="&amp;day_cash[[#This Row],[Date]])</f>
        <v>5013.1636682755598</v>
      </c>
      <c r="D81" s="4">
        <f>SUMIFS(schedule[Material CPP], schedule[Start Date],"&lt;="&amp;day_cash[[#This Row],[Date]]-$D$2, schedule[Finish Date],"&gt;="&amp;day_cash[[#This Row],[Date]]-$D$2)</f>
        <v>1707.6659038901603</v>
      </c>
      <c r="E81" s="4">
        <f>SUMIFS(schedule[Equipment CPP], schedule[Start Date],"&lt;="&amp;day_cash[[#This Row],[Date]]-$E$2, schedule[Finish Date],"&gt;="&amp;day_cash[[#This Row],[Date]]-$E$2)</f>
        <v>761.17179741807354</v>
      </c>
      <c r="F81" s="4">
        <f>SUMIFS(schedule[Sub CPP], schedule[Start Date],"&lt;="&amp;day_cash[[#This Row],[Date]]-$F$2, schedule[Finish Date],"&gt;="&amp;day_cash[[#This Row],[Date]]-$F$2)</f>
        <v>0</v>
      </c>
      <c r="G81" s="3">
        <f>SUMIFS(schedule[Other CPP], schedule[Start Date],"&lt;="&amp;day_cash[[#This Row],[Date]]-$G$2, schedule[Finish Date],"&gt;="&amp;day_cash[[#This Row],[Date]]-$G$2)</f>
        <v>499.24801750068366</v>
      </c>
      <c r="H81" s="3">
        <f>SUM(day_cash[[#This Row],[Labor Cost]:[Other Cost]])</f>
        <v>7981.2493870844773</v>
      </c>
      <c r="I81" s="3">
        <f>SUMIFS(schedule[Revenue per Day], schedule[Start Date],"&lt;="&amp;day_cash[[#This Row],[Date]]-$I$2, schedule[Finish Date],"&gt;="&amp;day_cash[[#This Row],[Date]]-$I$2)</f>
        <v>3771.4629477713975</v>
      </c>
      <c r="J81" s="3">
        <f>SUM(day_cash[[#Headers],[Labor Cost]]:day_cash[[#This Row],[Labor Cost]])</f>
        <v>206788.06494076329</v>
      </c>
      <c r="K81" s="3">
        <f>SUM(day_cash[[#Headers],[Material Cost]]:day_cash[[#This Row],[Material Cost]])</f>
        <v>14502.288329519455</v>
      </c>
      <c r="L81" s="3">
        <f>SUM(day_cash[[#Headers],[Equipment Cost]]:day_cash[[#This Row],[Equipment Cost]])</f>
        <v>21333.664349553135</v>
      </c>
      <c r="M81" s="3">
        <f>SUM(day_cash[[#Headers],[Sub Cost]]:day_cash[[#This Row],[Sub Cost]])</f>
        <v>0</v>
      </c>
      <c r="N81" s="3">
        <f>SUM(day_cash[[#Headers],[Other Cost]]:day_cash[[#This Row],[Other Cost]])</f>
        <v>20488.651900464858</v>
      </c>
      <c r="O81" s="3">
        <f>SUM(day_cash[[#This Row],[Cumulative Labor]:[Cumulative Other]])</f>
        <v>263112.66952030075</v>
      </c>
      <c r="P81" s="3">
        <f>SUM(day_cash[[#Headers],[Revenue]]:day_cash[[#This Row],[Revenue]])</f>
        <v>39370.916051408261</v>
      </c>
    </row>
    <row r="82" spans="2:16" x14ac:dyDescent="0.45">
      <c r="B82" s="1">
        <v>46465</v>
      </c>
      <c r="C82" s="4">
        <f>SUMIFS(schedule[Labor CPP], schedule[Start Date],"&lt;="&amp;day_cash[[#This Row],[Date]], schedule[Finish Date],"&gt;="&amp;day_cash[[#This Row],[Date]])</f>
        <v>8679.8303349422258</v>
      </c>
      <c r="D82" s="4">
        <f>SUMIFS(schedule[Material CPP], schedule[Start Date],"&lt;="&amp;day_cash[[#This Row],[Date]]-$D$2, schedule[Finish Date],"&gt;="&amp;day_cash[[#This Row],[Date]]-$D$2)</f>
        <v>1707.6659038901603</v>
      </c>
      <c r="E82" s="4">
        <f>SUMIFS(schedule[Equipment CPP], schedule[Start Date],"&lt;="&amp;day_cash[[#This Row],[Date]]-$E$2, schedule[Finish Date],"&gt;="&amp;day_cash[[#This Row],[Date]]-$E$2)</f>
        <v>761.17179741807354</v>
      </c>
      <c r="F82" s="4">
        <f>SUMIFS(schedule[Sub CPP], schedule[Start Date],"&lt;="&amp;day_cash[[#This Row],[Date]]-$F$2, schedule[Finish Date],"&gt;="&amp;day_cash[[#This Row],[Date]]-$F$2)</f>
        <v>0</v>
      </c>
      <c r="G82" s="3">
        <f>SUMIFS(schedule[Other CPP], schedule[Start Date],"&lt;="&amp;day_cash[[#This Row],[Date]]-$G$2, schedule[Finish Date],"&gt;="&amp;day_cash[[#This Row],[Date]]-$G$2)</f>
        <v>499.24801750068366</v>
      </c>
      <c r="H82" s="3">
        <f>SUM(day_cash[[#This Row],[Labor Cost]:[Other Cost]])</f>
        <v>11647.916053751143</v>
      </c>
      <c r="I82" s="3">
        <f>SUMIFS(schedule[Revenue per Day], schedule[Start Date],"&lt;="&amp;day_cash[[#This Row],[Date]]-$I$2, schedule[Finish Date],"&gt;="&amp;day_cash[[#This Row],[Date]]-$I$2)</f>
        <v>3771.4629477713975</v>
      </c>
      <c r="J82" s="3">
        <f>SUM(day_cash[[#Headers],[Labor Cost]]:day_cash[[#This Row],[Labor Cost]])</f>
        <v>215467.89527570552</v>
      </c>
      <c r="K82" s="3">
        <f>SUM(day_cash[[#Headers],[Material Cost]]:day_cash[[#This Row],[Material Cost]])</f>
        <v>16209.954233409615</v>
      </c>
      <c r="L82" s="3">
        <f>SUM(day_cash[[#Headers],[Equipment Cost]]:day_cash[[#This Row],[Equipment Cost]])</f>
        <v>22094.836146971207</v>
      </c>
      <c r="M82" s="3">
        <f>SUM(day_cash[[#Headers],[Sub Cost]]:day_cash[[#This Row],[Sub Cost]])</f>
        <v>0</v>
      </c>
      <c r="N82" s="3">
        <f>SUM(day_cash[[#Headers],[Other Cost]]:day_cash[[#This Row],[Other Cost]])</f>
        <v>20987.89991796554</v>
      </c>
      <c r="O82" s="3">
        <f>SUM(day_cash[[#This Row],[Cumulative Labor]:[Cumulative Other]])</f>
        <v>274760.58557405189</v>
      </c>
      <c r="P82" s="3">
        <f>SUM(day_cash[[#Headers],[Revenue]]:day_cash[[#This Row],[Revenue]])</f>
        <v>43142.378999179658</v>
      </c>
    </row>
    <row r="83" spans="2:16" x14ac:dyDescent="0.45">
      <c r="B83" s="1">
        <v>46466</v>
      </c>
      <c r="C83" s="4">
        <f>SUMIFS(schedule[Labor CPP], schedule[Start Date],"&lt;="&amp;day_cash[[#This Row],[Date]], schedule[Finish Date],"&gt;="&amp;day_cash[[#This Row],[Date]])</f>
        <v>8679.8303349422258</v>
      </c>
      <c r="D83" s="4">
        <f>SUMIFS(schedule[Material CPP], schedule[Start Date],"&lt;="&amp;day_cash[[#This Row],[Date]]-$D$2, schedule[Finish Date],"&gt;="&amp;day_cash[[#This Row],[Date]]-$D$2)</f>
        <v>1707.6659038901603</v>
      </c>
      <c r="E83" s="4">
        <f>SUMIFS(schedule[Equipment CPP], schedule[Start Date],"&lt;="&amp;day_cash[[#This Row],[Date]]-$E$2, schedule[Finish Date],"&gt;="&amp;day_cash[[#This Row],[Date]]-$E$2)</f>
        <v>761.17179741807354</v>
      </c>
      <c r="F83" s="4">
        <f>SUMIFS(schedule[Sub CPP], schedule[Start Date],"&lt;="&amp;day_cash[[#This Row],[Date]]-$F$2, schedule[Finish Date],"&gt;="&amp;day_cash[[#This Row],[Date]]-$F$2)</f>
        <v>0</v>
      </c>
      <c r="G83" s="3">
        <f>SUMIFS(schedule[Other CPP], schedule[Start Date],"&lt;="&amp;day_cash[[#This Row],[Date]]-$G$2, schedule[Finish Date],"&gt;="&amp;day_cash[[#This Row],[Date]]-$G$2)</f>
        <v>499.24801750068366</v>
      </c>
      <c r="H83" s="3">
        <f>SUM(day_cash[[#This Row],[Labor Cost]:[Other Cost]])</f>
        <v>11647.916053751143</v>
      </c>
      <c r="I83" s="3">
        <f>SUMIFS(schedule[Revenue per Day], schedule[Start Date],"&lt;="&amp;day_cash[[#This Row],[Date]]-$I$2, schedule[Finish Date],"&gt;="&amp;day_cash[[#This Row],[Date]]-$I$2)</f>
        <v>3771.4629477713975</v>
      </c>
      <c r="J83" s="3">
        <f>SUM(day_cash[[#Headers],[Labor Cost]]:day_cash[[#This Row],[Labor Cost]])</f>
        <v>224147.72561064776</v>
      </c>
      <c r="K83" s="3">
        <f>SUM(day_cash[[#Headers],[Material Cost]]:day_cash[[#This Row],[Material Cost]])</f>
        <v>17917.620137299775</v>
      </c>
      <c r="L83" s="3">
        <f>SUM(day_cash[[#Headers],[Equipment Cost]]:day_cash[[#This Row],[Equipment Cost]])</f>
        <v>22856.007944389279</v>
      </c>
      <c r="M83" s="3">
        <f>SUM(day_cash[[#Headers],[Sub Cost]]:day_cash[[#This Row],[Sub Cost]])</f>
        <v>0</v>
      </c>
      <c r="N83" s="3">
        <f>SUM(day_cash[[#Headers],[Other Cost]]:day_cash[[#This Row],[Other Cost]])</f>
        <v>21487.147935466222</v>
      </c>
      <c r="O83" s="3">
        <f>SUM(day_cash[[#This Row],[Cumulative Labor]:[Cumulative Other]])</f>
        <v>286408.50162780302</v>
      </c>
      <c r="P83" s="3">
        <f>SUM(day_cash[[#Headers],[Revenue]]:day_cash[[#This Row],[Revenue]])</f>
        <v>46913.841946951055</v>
      </c>
    </row>
    <row r="84" spans="2:16" x14ac:dyDescent="0.45">
      <c r="B84" s="1">
        <v>46467</v>
      </c>
      <c r="C84" s="4">
        <f>SUMIFS(schedule[Labor CPP], schedule[Start Date],"&lt;="&amp;day_cash[[#This Row],[Date]], schedule[Finish Date],"&gt;="&amp;day_cash[[#This Row],[Date]])</f>
        <v>8679.8303349422258</v>
      </c>
      <c r="D84" s="4">
        <f>SUMIFS(schedule[Material CPP], schedule[Start Date],"&lt;="&amp;day_cash[[#This Row],[Date]]-$D$2, schedule[Finish Date],"&gt;="&amp;day_cash[[#This Row],[Date]]-$D$2)</f>
        <v>1707.6659038901603</v>
      </c>
      <c r="E84" s="4">
        <f>SUMIFS(schedule[Equipment CPP], schedule[Start Date],"&lt;="&amp;day_cash[[#This Row],[Date]]-$E$2, schedule[Finish Date],"&gt;="&amp;day_cash[[#This Row],[Date]]-$E$2)</f>
        <v>761.17179741807354</v>
      </c>
      <c r="F84" s="4">
        <f>SUMIFS(schedule[Sub CPP], schedule[Start Date],"&lt;="&amp;day_cash[[#This Row],[Date]]-$F$2, schedule[Finish Date],"&gt;="&amp;day_cash[[#This Row],[Date]]-$F$2)</f>
        <v>0</v>
      </c>
      <c r="G84" s="3">
        <f>SUMIFS(schedule[Other CPP], schedule[Start Date],"&lt;="&amp;day_cash[[#This Row],[Date]]-$G$2, schedule[Finish Date],"&gt;="&amp;day_cash[[#This Row],[Date]]-$G$2)</f>
        <v>499.24801750068366</v>
      </c>
      <c r="H84" s="3">
        <f>SUM(day_cash[[#This Row],[Labor Cost]:[Other Cost]])</f>
        <v>11647.916053751143</v>
      </c>
      <c r="I84" s="3">
        <f>SUMIFS(schedule[Revenue per Day], schedule[Start Date],"&lt;="&amp;day_cash[[#This Row],[Date]]-$I$2, schedule[Finish Date],"&gt;="&amp;day_cash[[#This Row],[Date]]-$I$2)</f>
        <v>3771.4629477713975</v>
      </c>
      <c r="J84" s="3">
        <f>SUM(day_cash[[#Headers],[Labor Cost]]:day_cash[[#This Row],[Labor Cost]])</f>
        <v>232827.55594558999</v>
      </c>
      <c r="K84" s="3">
        <f>SUM(day_cash[[#Headers],[Material Cost]]:day_cash[[#This Row],[Material Cost]])</f>
        <v>19625.286041189935</v>
      </c>
      <c r="L84" s="3">
        <f>SUM(day_cash[[#Headers],[Equipment Cost]]:day_cash[[#This Row],[Equipment Cost]])</f>
        <v>23617.179741807351</v>
      </c>
      <c r="M84" s="3">
        <f>SUM(day_cash[[#Headers],[Sub Cost]]:day_cash[[#This Row],[Sub Cost]])</f>
        <v>0</v>
      </c>
      <c r="N84" s="3">
        <f>SUM(day_cash[[#Headers],[Other Cost]]:day_cash[[#This Row],[Other Cost]])</f>
        <v>21986.395952966905</v>
      </c>
      <c r="O84" s="3">
        <f>SUM(day_cash[[#This Row],[Cumulative Labor]:[Cumulative Other]])</f>
        <v>298056.41768155416</v>
      </c>
      <c r="P84" s="3">
        <f>SUM(day_cash[[#Headers],[Revenue]]:day_cash[[#This Row],[Revenue]])</f>
        <v>50685.304894722452</v>
      </c>
    </row>
    <row r="85" spans="2:16" x14ac:dyDescent="0.45">
      <c r="B85" s="1">
        <v>46468</v>
      </c>
      <c r="C85" s="4">
        <f>SUMIFS(schedule[Labor CPP], schedule[Start Date],"&lt;="&amp;day_cash[[#This Row],[Date]], schedule[Finish Date],"&gt;="&amp;day_cash[[#This Row],[Date]])</f>
        <v>8679.8303349422258</v>
      </c>
      <c r="D85" s="4">
        <f>SUMIFS(schedule[Material CPP], schedule[Start Date],"&lt;="&amp;day_cash[[#This Row],[Date]]-$D$2, schedule[Finish Date],"&gt;="&amp;day_cash[[#This Row],[Date]]-$D$2)</f>
        <v>1707.6659038901603</v>
      </c>
      <c r="E85" s="4">
        <f>SUMIFS(schedule[Equipment CPP], schedule[Start Date],"&lt;="&amp;day_cash[[#This Row],[Date]]-$E$2, schedule[Finish Date],"&gt;="&amp;day_cash[[#This Row],[Date]]-$E$2)</f>
        <v>761.17179741807354</v>
      </c>
      <c r="F85" s="4">
        <f>SUMIFS(schedule[Sub CPP], schedule[Start Date],"&lt;="&amp;day_cash[[#This Row],[Date]]-$F$2, schedule[Finish Date],"&gt;="&amp;day_cash[[#This Row],[Date]]-$F$2)</f>
        <v>0</v>
      </c>
      <c r="G85" s="3">
        <f>SUMIFS(schedule[Other CPP], schedule[Start Date],"&lt;="&amp;day_cash[[#This Row],[Date]]-$G$2, schedule[Finish Date],"&gt;="&amp;day_cash[[#This Row],[Date]]-$G$2)</f>
        <v>499.24801750068366</v>
      </c>
      <c r="H85" s="3">
        <f>SUM(day_cash[[#This Row],[Labor Cost]:[Other Cost]])</f>
        <v>11647.916053751143</v>
      </c>
      <c r="I85" s="3">
        <f>SUMIFS(schedule[Revenue per Day], schedule[Start Date],"&lt;="&amp;day_cash[[#This Row],[Date]]-$I$2, schedule[Finish Date],"&gt;="&amp;day_cash[[#This Row],[Date]]-$I$2)</f>
        <v>3771.4629477713975</v>
      </c>
      <c r="J85" s="3">
        <f>SUM(day_cash[[#Headers],[Labor Cost]]:day_cash[[#This Row],[Labor Cost]])</f>
        <v>241507.38628053223</v>
      </c>
      <c r="K85" s="3">
        <f>SUM(day_cash[[#Headers],[Material Cost]]:day_cash[[#This Row],[Material Cost]])</f>
        <v>21332.951945080094</v>
      </c>
      <c r="L85" s="3">
        <f>SUM(day_cash[[#Headers],[Equipment Cost]]:day_cash[[#This Row],[Equipment Cost]])</f>
        <v>24378.351539225423</v>
      </c>
      <c r="M85" s="3">
        <f>SUM(day_cash[[#Headers],[Sub Cost]]:day_cash[[#This Row],[Sub Cost]])</f>
        <v>0</v>
      </c>
      <c r="N85" s="3">
        <f>SUM(day_cash[[#Headers],[Other Cost]]:day_cash[[#This Row],[Other Cost]])</f>
        <v>22485.643970467587</v>
      </c>
      <c r="O85" s="3">
        <f>SUM(day_cash[[#This Row],[Cumulative Labor]:[Cumulative Other]])</f>
        <v>309704.33373530535</v>
      </c>
      <c r="P85" s="3">
        <f>SUM(day_cash[[#Headers],[Revenue]]:day_cash[[#This Row],[Revenue]])</f>
        <v>54456.767842493849</v>
      </c>
    </row>
    <row r="86" spans="2:16" x14ac:dyDescent="0.45">
      <c r="B86" s="1">
        <v>46469</v>
      </c>
      <c r="C86" s="4">
        <f>SUMIFS(schedule[Labor CPP], schedule[Start Date],"&lt;="&amp;day_cash[[#This Row],[Date]], schedule[Finish Date],"&gt;="&amp;day_cash[[#This Row],[Date]])</f>
        <v>8679.8303349422258</v>
      </c>
      <c r="D86" s="4">
        <f>SUMIFS(schedule[Material CPP], schedule[Start Date],"&lt;="&amp;day_cash[[#This Row],[Date]]-$D$2, schedule[Finish Date],"&gt;="&amp;day_cash[[#This Row],[Date]]-$D$2)</f>
        <v>1707.6659038901603</v>
      </c>
      <c r="E86" s="4">
        <f>SUMIFS(schedule[Equipment CPP], schedule[Start Date],"&lt;="&amp;day_cash[[#This Row],[Date]]-$E$2, schedule[Finish Date],"&gt;="&amp;day_cash[[#This Row],[Date]]-$E$2)</f>
        <v>761.17179741807354</v>
      </c>
      <c r="F86" s="4">
        <f>SUMIFS(schedule[Sub CPP], schedule[Start Date],"&lt;="&amp;day_cash[[#This Row],[Date]]-$F$2, schedule[Finish Date],"&gt;="&amp;day_cash[[#This Row],[Date]]-$F$2)</f>
        <v>0</v>
      </c>
      <c r="G86" s="3">
        <f>SUMIFS(schedule[Other CPP], schedule[Start Date],"&lt;="&amp;day_cash[[#This Row],[Date]]-$G$2, schedule[Finish Date],"&gt;="&amp;day_cash[[#This Row],[Date]]-$G$2)</f>
        <v>499.24801750068366</v>
      </c>
      <c r="H86" s="3">
        <f>SUM(day_cash[[#This Row],[Labor Cost]:[Other Cost]])</f>
        <v>11647.916053751143</v>
      </c>
      <c r="I86" s="3">
        <f>SUMIFS(schedule[Revenue per Day], schedule[Start Date],"&lt;="&amp;day_cash[[#This Row],[Date]]-$I$2, schedule[Finish Date],"&gt;="&amp;day_cash[[#This Row],[Date]]-$I$2)</f>
        <v>3771.4629477713975</v>
      </c>
      <c r="J86" s="3">
        <f>SUM(day_cash[[#Headers],[Labor Cost]]:day_cash[[#This Row],[Labor Cost]])</f>
        <v>250187.21661547446</v>
      </c>
      <c r="K86" s="3">
        <f>SUM(day_cash[[#Headers],[Material Cost]]:day_cash[[#This Row],[Material Cost]])</f>
        <v>23040.617848970254</v>
      </c>
      <c r="L86" s="3">
        <f>SUM(day_cash[[#Headers],[Equipment Cost]]:day_cash[[#This Row],[Equipment Cost]])</f>
        <v>25139.523336643495</v>
      </c>
      <c r="M86" s="3">
        <f>SUM(day_cash[[#Headers],[Sub Cost]]:day_cash[[#This Row],[Sub Cost]])</f>
        <v>0</v>
      </c>
      <c r="N86" s="3">
        <f>SUM(day_cash[[#Headers],[Other Cost]]:day_cash[[#This Row],[Other Cost]])</f>
        <v>22984.891987968269</v>
      </c>
      <c r="O86" s="3">
        <f>SUM(day_cash[[#This Row],[Cumulative Labor]:[Cumulative Other]])</f>
        <v>321352.24978905648</v>
      </c>
      <c r="P86" s="3">
        <f>SUM(day_cash[[#Headers],[Revenue]]:day_cash[[#This Row],[Revenue]])</f>
        <v>58228.230790265246</v>
      </c>
    </row>
    <row r="87" spans="2:16" x14ac:dyDescent="0.45">
      <c r="B87" s="1">
        <v>46470</v>
      </c>
      <c r="C87" s="4">
        <f>SUMIFS(schedule[Labor CPP], schedule[Start Date],"&lt;="&amp;day_cash[[#This Row],[Date]], schedule[Finish Date],"&gt;="&amp;day_cash[[#This Row],[Date]])</f>
        <v>8679.8303349422258</v>
      </c>
      <c r="D87" s="4">
        <f>SUMIFS(schedule[Material CPP], schedule[Start Date],"&lt;="&amp;day_cash[[#This Row],[Date]]-$D$2, schedule[Finish Date],"&gt;="&amp;day_cash[[#This Row],[Date]]-$D$2)</f>
        <v>1707.6659038901603</v>
      </c>
      <c r="E87" s="4">
        <f>SUMIFS(schedule[Equipment CPP], schedule[Start Date],"&lt;="&amp;day_cash[[#This Row],[Date]]-$E$2, schedule[Finish Date],"&gt;="&amp;day_cash[[#This Row],[Date]]-$E$2)</f>
        <v>761.17179741807354</v>
      </c>
      <c r="F87" s="4">
        <f>SUMIFS(schedule[Sub CPP], schedule[Start Date],"&lt;="&amp;day_cash[[#This Row],[Date]]-$F$2, schedule[Finish Date],"&gt;="&amp;day_cash[[#This Row],[Date]]-$F$2)</f>
        <v>0</v>
      </c>
      <c r="G87" s="3">
        <f>SUMIFS(schedule[Other CPP], schedule[Start Date],"&lt;="&amp;day_cash[[#This Row],[Date]]-$G$2, schedule[Finish Date],"&gt;="&amp;day_cash[[#This Row],[Date]]-$G$2)</f>
        <v>499.24801750068366</v>
      </c>
      <c r="H87" s="3">
        <f>SUM(day_cash[[#This Row],[Labor Cost]:[Other Cost]])</f>
        <v>11647.916053751143</v>
      </c>
      <c r="I87" s="3">
        <f>SUMIFS(schedule[Revenue per Day], schedule[Start Date],"&lt;="&amp;day_cash[[#This Row],[Date]]-$I$2, schedule[Finish Date],"&gt;="&amp;day_cash[[#This Row],[Date]]-$I$2)</f>
        <v>3771.4629477713975</v>
      </c>
      <c r="J87" s="3">
        <f>SUM(day_cash[[#Headers],[Labor Cost]]:day_cash[[#This Row],[Labor Cost]])</f>
        <v>258867.0469504167</v>
      </c>
      <c r="K87" s="3">
        <f>SUM(day_cash[[#Headers],[Material Cost]]:day_cash[[#This Row],[Material Cost]])</f>
        <v>24748.283752860414</v>
      </c>
      <c r="L87" s="3">
        <f>SUM(day_cash[[#Headers],[Equipment Cost]]:day_cash[[#This Row],[Equipment Cost]])</f>
        <v>25900.695134061567</v>
      </c>
      <c r="M87" s="3">
        <f>SUM(day_cash[[#Headers],[Sub Cost]]:day_cash[[#This Row],[Sub Cost]])</f>
        <v>0</v>
      </c>
      <c r="N87" s="3">
        <f>SUM(day_cash[[#Headers],[Other Cost]]:day_cash[[#This Row],[Other Cost]])</f>
        <v>23484.140005468951</v>
      </c>
      <c r="O87" s="3">
        <f>SUM(day_cash[[#This Row],[Cumulative Labor]:[Cumulative Other]])</f>
        <v>333000.16584280768</v>
      </c>
      <c r="P87" s="3">
        <f>SUM(day_cash[[#Headers],[Revenue]]:day_cash[[#This Row],[Revenue]])</f>
        <v>61999.693738036643</v>
      </c>
    </row>
    <row r="88" spans="2:16" x14ac:dyDescent="0.45">
      <c r="B88" s="1">
        <v>46471</v>
      </c>
      <c r="C88" s="4">
        <f>SUMIFS(schedule[Labor CPP], schedule[Start Date],"&lt;="&amp;day_cash[[#This Row],[Date]], schedule[Finish Date],"&gt;="&amp;day_cash[[#This Row],[Date]])</f>
        <v>8679.8303349422258</v>
      </c>
      <c r="D88" s="4">
        <f>SUMIFS(schedule[Material CPP], schedule[Start Date],"&lt;="&amp;day_cash[[#This Row],[Date]]-$D$2, schedule[Finish Date],"&gt;="&amp;day_cash[[#This Row],[Date]]-$D$2)</f>
        <v>1707.6659038901603</v>
      </c>
      <c r="E88" s="4">
        <f>SUMIFS(schedule[Equipment CPP], schedule[Start Date],"&lt;="&amp;day_cash[[#This Row],[Date]]-$E$2, schedule[Finish Date],"&gt;="&amp;day_cash[[#This Row],[Date]]-$E$2)</f>
        <v>761.17179741807354</v>
      </c>
      <c r="F88" s="4">
        <f>SUMIFS(schedule[Sub CPP], schedule[Start Date],"&lt;="&amp;day_cash[[#This Row],[Date]]-$F$2, schedule[Finish Date],"&gt;="&amp;day_cash[[#This Row],[Date]]-$F$2)</f>
        <v>0</v>
      </c>
      <c r="G88" s="3">
        <f>SUMIFS(schedule[Other CPP], schedule[Start Date],"&lt;="&amp;day_cash[[#This Row],[Date]]-$G$2, schedule[Finish Date],"&gt;="&amp;day_cash[[#This Row],[Date]]-$G$2)</f>
        <v>499.24801750068366</v>
      </c>
      <c r="H88" s="3">
        <f>SUM(day_cash[[#This Row],[Labor Cost]:[Other Cost]])</f>
        <v>11647.916053751143</v>
      </c>
      <c r="I88" s="3">
        <f>SUMIFS(schedule[Revenue per Day], schedule[Start Date],"&lt;="&amp;day_cash[[#This Row],[Date]]-$I$2, schedule[Finish Date],"&gt;="&amp;day_cash[[#This Row],[Date]]-$I$2)</f>
        <v>3771.4629477713975</v>
      </c>
      <c r="J88" s="3">
        <f>SUM(day_cash[[#Headers],[Labor Cost]]:day_cash[[#This Row],[Labor Cost]])</f>
        <v>267546.8772853589</v>
      </c>
      <c r="K88" s="3">
        <f>SUM(day_cash[[#Headers],[Material Cost]]:day_cash[[#This Row],[Material Cost]])</f>
        <v>26455.949656750574</v>
      </c>
      <c r="L88" s="3">
        <f>SUM(day_cash[[#Headers],[Equipment Cost]]:day_cash[[#This Row],[Equipment Cost]])</f>
        <v>26661.866931479639</v>
      </c>
      <c r="M88" s="3">
        <f>SUM(day_cash[[#Headers],[Sub Cost]]:day_cash[[#This Row],[Sub Cost]])</f>
        <v>0</v>
      </c>
      <c r="N88" s="3">
        <f>SUM(day_cash[[#Headers],[Other Cost]]:day_cash[[#This Row],[Other Cost]])</f>
        <v>23983.388022969633</v>
      </c>
      <c r="O88" s="3">
        <f>SUM(day_cash[[#This Row],[Cumulative Labor]:[Cumulative Other]])</f>
        <v>344648.08189655881</v>
      </c>
      <c r="P88" s="3">
        <f>SUM(day_cash[[#Headers],[Revenue]]:day_cash[[#This Row],[Revenue]])</f>
        <v>65771.156685808048</v>
      </c>
    </row>
    <row r="89" spans="2:16" x14ac:dyDescent="0.45">
      <c r="B89" s="1">
        <v>46472</v>
      </c>
      <c r="C89" s="4">
        <f>SUMIFS(schedule[Labor CPP], schedule[Start Date],"&lt;="&amp;day_cash[[#This Row],[Date]], schedule[Finish Date],"&gt;="&amp;day_cash[[#This Row],[Date]])</f>
        <v>8679.8303349422258</v>
      </c>
      <c r="D89" s="4">
        <f>SUMIFS(schedule[Material CPP], schedule[Start Date],"&lt;="&amp;day_cash[[#This Row],[Date]]-$D$2, schedule[Finish Date],"&gt;="&amp;day_cash[[#This Row],[Date]]-$D$2)</f>
        <v>1707.6659038901603</v>
      </c>
      <c r="E89" s="4">
        <f>SUMIFS(schedule[Equipment CPP], schedule[Start Date],"&lt;="&amp;day_cash[[#This Row],[Date]]-$E$2, schedule[Finish Date],"&gt;="&amp;day_cash[[#This Row],[Date]]-$E$2)</f>
        <v>761.17179741807354</v>
      </c>
      <c r="F89" s="4">
        <f>SUMIFS(schedule[Sub CPP], schedule[Start Date],"&lt;="&amp;day_cash[[#This Row],[Date]]-$F$2, schedule[Finish Date],"&gt;="&amp;day_cash[[#This Row],[Date]]-$F$2)</f>
        <v>0</v>
      </c>
      <c r="G89" s="3">
        <f>SUMIFS(schedule[Other CPP], schedule[Start Date],"&lt;="&amp;day_cash[[#This Row],[Date]]-$G$2, schedule[Finish Date],"&gt;="&amp;day_cash[[#This Row],[Date]]-$G$2)</f>
        <v>499.24801750068366</v>
      </c>
      <c r="H89" s="3">
        <f>SUM(day_cash[[#This Row],[Labor Cost]:[Other Cost]])</f>
        <v>11647.916053751143</v>
      </c>
      <c r="I89" s="3">
        <f>SUMIFS(schedule[Revenue per Day], schedule[Start Date],"&lt;="&amp;day_cash[[#This Row],[Date]]-$I$2, schedule[Finish Date],"&gt;="&amp;day_cash[[#This Row],[Date]]-$I$2)</f>
        <v>3771.4629477713975</v>
      </c>
      <c r="J89" s="3">
        <f>SUM(day_cash[[#Headers],[Labor Cost]]:day_cash[[#This Row],[Labor Cost]])</f>
        <v>276226.70762030111</v>
      </c>
      <c r="K89" s="3">
        <f>SUM(day_cash[[#Headers],[Material Cost]]:day_cash[[#This Row],[Material Cost]])</f>
        <v>28163.615560640734</v>
      </c>
      <c r="L89" s="3">
        <f>SUM(day_cash[[#Headers],[Equipment Cost]]:day_cash[[#This Row],[Equipment Cost]])</f>
        <v>27423.038728897711</v>
      </c>
      <c r="M89" s="3">
        <f>SUM(day_cash[[#Headers],[Sub Cost]]:day_cash[[#This Row],[Sub Cost]])</f>
        <v>0</v>
      </c>
      <c r="N89" s="3">
        <f>SUM(day_cash[[#Headers],[Other Cost]]:day_cash[[#This Row],[Other Cost]])</f>
        <v>24482.636040470315</v>
      </c>
      <c r="O89" s="3">
        <f>SUM(day_cash[[#This Row],[Cumulative Labor]:[Cumulative Other]])</f>
        <v>356295.99795030989</v>
      </c>
      <c r="P89" s="3">
        <f>SUM(day_cash[[#Headers],[Revenue]]:day_cash[[#This Row],[Revenue]])</f>
        <v>69542.619633579452</v>
      </c>
    </row>
    <row r="90" spans="2:16" x14ac:dyDescent="0.45">
      <c r="B90" s="1">
        <v>46473</v>
      </c>
      <c r="C90" s="4">
        <f>SUMIFS(schedule[Labor CPP], schedule[Start Date],"&lt;="&amp;day_cash[[#This Row],[Date]], schedule[Finish Date],"&gt;="&amp;day_cash[[#This Row],[Date]])</f>
        <v>8679.8303349422258</v>
      </c>
      <c r="D90" s="4">
        <f>SUMIFS(schedule[Material CPP], schedule[Start Date],"&lt;="&amp;day_cash[[#This Row],[Date]]-$D$2, schedule[Finish Date],"&gt;="&amp;day_cash[[#This Row],[Date]]-$D$2)</f>
        <v>1707.6659038901603</v>
      </c>
      <c r="E90" s="4">
        <f>SUMIFS(schedule[Equipment CPP], schedule[Start Date],"&lt;="&amp;day_cash[[#This Row],[Date]]-$E$2, schedule[Finish Date],"&gt;="&amp;day_cash[[#This Row],[Date]]-$E$2)</f>
        <v>761.17179741807354</v>
      </c>
      <c r="F90" s="4">
        <f>SUMIFS(schedule[Sub CPP], schedule[Start Date],"&lt;="&amp;day_cash[[#This Row],[Date]]-$F$2, schedule[Finish Date],"&gt;="&amp;day_cash[[#This Row],[Date]]-$F$2)</f>
        <v>0</v>
      </c>
      <c r="G90" s="3">
        <f>SUMIFS(schedule[Other CPP], schedule[Start Date],"&lt;="&amp;day_cash[[#This Row],[Date]]-$G$2, schedule[Finish Date],"&gt;="&amp;day_cash[[#This Row],[Date]]-$G$2)</f>
        <v>499.24801750068366</v>
      </c>
      <c r="H90" s="3">
        <f>SUM(day_cash[[#This Row],[Labor Cost]:[Other Cost]])</f>
        <v>11647.916053751143</v>
      </c>
      <c r="I90" s="3">
        <f>SUMIFS(schedule[Revenue per Day], schedule[Start Date],"&lt;="&amp;day_cash[[#This Row],[Date]]-$I$2, schedule[Finish Date],"&gt;="&amp;day_cash[[#This Row],[Date]]-$I$2)</f>
        <v>3771.4629477713975</v>
      </c>
      <c r="J90" s="3">
        <f>SUM(day_cash[[#Headers],[Labor Cost]]:day_cash[[#This Row],[Labor Cost]])</f>
        <v>284906.53795524332</v>
      </c>
      <c r="K90" s="3">
        <f>SUM(day_cash[[#Headers],[Material Cost]]:day_cash[[#This Row],[Material Cost]])</f>
        <v>29871.281464530894</v>
      </c>
      <c r="L90" s="3">
        <f>SUM(day_cash[[#Headers],[Equipment Cost]]:day_cash[[#This Row],[Equipment Cost]])</f>
        <v>28184.210526315783</v>
      </c>
      <c r="M90" s="3">
        <f>SUM(day_cash[[#Headers],[Sub Cost]]:day_cash[[#This Row],[Sub Cost]])</f>
        <v>0</v>
      </c>
      <c r="N90" s="3">
        <f>SUM(day_cash[[#Headers],[Other Cost]]:day_cash[[#This Row],[Other Cost]])</f>
        <v>24981.884057970998</v>
      </c>
      <c r="O90" s="3">
        <f>SUM(day_cash[[#This Row],[Cumulative Labor]:[Cumulative Other]])</f>
        <v>367943.91400406102</v>
      </c>
      <c r="P90" s="3">
        <f>SUM(day_cash[[#Headers],[Revenue]]:day_cash[[#This Row],[Revenue]])</f>
        <v>73314.082581350856</v>
      </c>
    </row>
    <row r="91" spans="2:16" x14ac:dyDescent="0.45">
      <c r="B91" s="1">
        <v>46474</v>
      </c>
      <c r="C91" s="4">
        <f>SUMIFS(schedule[Labor CPP], schedule[Start Date],"&lt;="&amp;day_cash[[#This Row],[Date]], schedule[Finish Date],"&gt;="&amp;day_cash[[#This Row],[Date]])</f>
        <v>8679.8303349422258</v>
      </c>
      <c r="D91" s="4">
        <f>SUMIFS(schedule[Material CPP], schedule[Start Date],"&lt;="&amp;day_cash[[#This Row],[Date]]-$D$2, schedule[Finish Date],"&gt;="&amp;day_cash[[#This Row],[Date]]-$D$2)</f>
        <v>1707.6659038901603</v>
      </c>
      <c r="E91" s="4">
        <f>SUMIFS(schedule[Equipment CPP], schedule[Start Date],"&lt;="&amp;day_cash[[#This Row],[Date]]-$E$2, schedule[Finish Date],"&gt;="&amp;day_cash[[#This Row],[Date]]-$E$2)</f>
        <v>761.17179741807354</v>
      </c>
      <c r="F91" s="4">
        <f>SUMIFS(schedule[Sub CPP], schedule[Start Date],"&lt;="&amp;day_cash[[#This Row],[Date]]-$F$2, schedule[Finish Date],"&gt;="&amp;day_cash[[#This Row],[Date]]-$F$2)</f>
        <v>0</v>
      </c>
      <c r="G91" s="3">
        <f>SUMIFS(schedule[Other CPP], schedule[Start Date],"&lt;="&amp;day_cash[[#This Row],[Date]]-$G$2, schedule[Finish Date],"&gt;="&amp;day_cash[[#This Row],[Date]]-$G$2)</f>
        <v>499.24801750068366</v>
      </c>
      <c r="H91" s="3">
        <f>SUM(day_cash[[#This Row],[Labor Cost]:[Other Cost]])</f>
        <v>11647.916053751143</v>
      </c>
      <c r="I91" s="3">
        <f>SUMIFS(schedule[Revenue per Day], schedule[Start Date],"&lt;="&amp;day_cash[[#This Row],[Date]]-$I$2, schedule[Finish Date],"&gt;="&amp;day_cash[[#This Row],[Date]]-$I$2)</f>
        <v>3771.4629477713975</v>
      </c>
      <c r="J91" s="3">
        <f>SUM(day_cash[[#Headers],[Labor Cost]]:day_cash[[#This Row],[Labor Cost]])</f>
        <v>293586.36829018552</v>
      </c>
      <c r="K91" s="3">
        <f>SUM(day_cash[[#Headers],[Material Cost]]:day_cash[[#This Row],[Material Cost]])</f>
        <v>31578.947368421053</v>
      </c>
      <c r="L91" s="3">
        <f>SUM(day_cash[[#Headers],[Equipment Cost]]:day_cash[[#This Row],[Equipment Cost]])</f>
        <v>28945.382323733855</v>
      </c>
      <c r="M91" s="3">
        <f>SUM(day_cash[[#Headers],[Sub Cost]]:day_cash[[#This Row],[Sub Cost]])</f>
        <v>0</v>
      </c>
      <c r="N91" s="3">
        <f>SUM(day_cash[[#Headers],[Other Cost]]:day_cash[[#This Row],[Other Cost]])</f>
        <v>25481.13207547168</v>
      </c>
      <c r="O91" s="3">
        <f>SUM(day_cash[[#This Row],[Cumulative Labor]:[Cumulative Other]])</f>
        <v>379591.83005781216</v>
      </c>
      <c r="P91" s="3">
        <f>SUM(day_cash[[#Headers],[Revenue]]:day_cash[[#This Row],[Revenue]])</f>
        <v>77085.545529122261</v>
      </c>
    </row>
    <row r="92" spans="2:16" x14ac:dyDescent="0.45">
      <c r="B92" s="1">
        <v>46475</v>
      </c>
      <c r="C92" s="4">
        <f>SUMIFS(schedule[Labor CPP], schedule[Start Date],"&lt;="&amp;day_cash[[#This Row],[Date]], schedule[Finish Date],"&gt;="&amp;day_cash[[#This Row],[Date]])</f>
        <v>8679.8303349422258</v>
      </c>
      <c r="D92" s="4">
        <f>SUMIFS(schedule[Material CPP], schedule[Start Date],"&lt;="&amp;day_cash[[#This Row],[Date]]-$D$2, schedule[Finish Date],"&gt;="&amp;day_cash[[#This Row],[Date]]-$D$2)</f>
        <v>1381.578947368421</v>
      </c>
      <c r="E92" s="4">
        <f>SUMIFS(schedule[Equipment CPP], schedule[Start Date],"&lt;="&amp;day_cash[[#This Row],[Date]]-$E$2, schedule[Finish Date],"&gt;="&amp;day_cash[[#This Row],[Date]]-$E$2)</f>
        <v>761.17179741807354</v>
      </c>
      <c r="F92" s="4">
        <f>SUMIFS(schedule[Sub CPP], schedule[Start Date],"&lt;="&amp;day_cash[[#This Row],[Date]]-$F$2, schedule[Finish Date],"&gt;="&amp;day_cash[[#This Row],[Date]]-$F$2)</f>
        <v>0</v>
      </c>
      <c r="G92" s="3">
        <f>SUMIFS(schedule[Other CPP], schedule[Start Date],"&lt;="&amp;day_cash[[#This Row],[Date]]-$G$2, schedule[Finish Date],"&gt;="&amp;day_cash[[#This Row],[Date]]-$G$2)</f>
        <v>314.46540880503147</v>
      </c>
      <c r="H92" s="3">
        <f>SUM(day_cash[[#This Row],[Labor Cost]:[Other Cost]])</f>
        <v>11137.046488533753</v>
      </c>
      <c r="I92" s="3">
        <f>SUMIFS(schedule[Revenue per Day], schedule[Start Date],"&lt;="&amp;day_cash[[#This Row],[Date]]-$I$2, schedule[Finish Date],"&gt;="&amp;day_cash[[#This Row],[Date]]-$I$2)</f>
        <v>3771.4629477713975</v>
      </c>
      <c r="J92" s="3">
        <f>SUM(day_cash[[#Headers],[Labor Cost]]:day_cash[[#This Row],[Labor Cost]])</f>
        <v>302266.19862512773</v>
      </c>
      <c r="K92" s="3">
        <f>SUM(day_cash[[#Headers],[Material Cost]]:day_cash[[#This Row],[Material Cost]])</f>
        <v>32960.526315789473</v>
      </c>
      <c r="L92" s="3">
        <f>SUM(day_cash[[#Headers],[Equipment Cost]]:day_cash[[#This Row],[Equipment Cost]])</f>
        <v>29706.554121151927</v>
      </c>
      <c r="M92" s="3">
        <f>SUM(day_cash[[#Headers],[Sub Cost]]:day_cash[[#This Row],[Sub Cost]])</f>
        <v>0</v>
      </c>
      <c r="N92" s="3">
        <f>SUM(day_cash[[#Headers],[Other Cost]]:day_cash[[#This Row],[Other Cost]])</f>
        <v>25795.59748427671</v>
      </c>
      <c r="O92" s="3">
        <f>SUM(day_cash[[#This Row],[Cumulative Labor]:[Cumulative Other]])</f>
        <v>390728.87654634583</v>
      </c>
      <c r="P92" s="3">
        <f>SUM(day_cash[[#Headers],[Revenue]]:day_cash[[#This Row],[Revenue]])</f>
        <v>80857.008476893665</v>
      </c>
    </row>
    <row r="93" spans="2:16" x14ac:dyDescent="0.45">
      <c r="B93" s="1">
        <v>46476</v>
      </c>
      <c r="C93" s="4">
        <f>SUMIFS(schedule[Labor CPP], schedule[Start Date],"&lt;="&amp;day_cash[[#This Row],[Date]], schedule[Finish Date],"&gt;="&amp;day_cash[[#This Row],[Date]])</f>
        <v>8679.8303349422258</v>
      </c>
      <c r="D93" s="4">
        <f>SUMIFS(schedule[Material CPP], schedule[Start Date],"&lt;="&amp;day_cash[[#This Row],[Date]]-$D$2, schedule[Finish Date],"&gt;="&amp;day_cash[[#This Row],[Date]]-$D$2)</f>
        <v>1381.578947368421</v>
      </c>
      <c r="E93" s="4">
        <f>SUMIFS(schedule[Equipment CPP], schedule[Start Date],"&lt;="&amp;day_cash[[#This Row],[Date]]-$E$2, schedule[Finish Date],"&gt;="&amp;day_cash[[#This Row],[Date]]-$E$2)</f>
        <v>761.17179741807354</v>
      </c>
      <c r="F93" s="4">
        <f>SUMIFS(schedule[Sub CPP], schedule[Start Date],"&lt;="&amp;day_cash[[#This Row],[Date]]-$F$2, schedule[Finish Date],"&gt;="&amp;day_cash[[#This Row],[Date]]-$F$2)</f>
        <v>0</v>
      </c>
      <c r="G93" s="3">
        <f>SUMIFS(schedule[Other CPP], schedule[Start Date],"&lt;="&amp;day_cash[[#This Row],[Date]]-$G$2, schedule[Finish Date],"&gt;="&amp;day_cash[[#This Row],[Date]]-$G$2)</f>
        <v>314.46540880503147</v>
      </c>
      <c r="H93" s="3">
        <f>SUM(day_cash[[#This Row],[Labor Cost]:[Other Cost]])</f>
        <v>11137.046488533753</v>
      </c>
      <c r="I93" s="3">
        <f>SUMIFS(schedule[Revenue per Day], schedule[Start Date],"&lt;="&amp;day_cash[[#This Row],[Date]]-$I$2, schedule[Finish Date],"&gt;="&amp;day_cash[[#This Row],[Date]]-$I$2)</f>
        <v>3771.4629477713975</v>
      </c>
      <c r="J93" s="3">
        <f>SUM(day_cash[[#Headers],[Labor Cost]]:day_cash[[#This Row],[Labor Cost]])</f>
        <v>310946.02896006993</v>
      </c>
      <c r="K93" s="3">
        <f>SUM(day_cash[[#Headers],[Material Cost]]:day_cash[[#This Row],[Material Cost]])</f>
        <v>34342.105263157893</v>
      </c>
      <c r="L93" s="3">
        <f>SUM(day_cash[[#Headers],[Equipment Cost]]:day_cash[[#This Row],[Equipment Cost]])</f>
        <v>30467.725918569999</v>
      </c>
      <c r="M93" s="3">
        <f>SUM(day_cash[[#Headers],[Sub Cost]]:day_cash[[#This Row],[Sub Cost]])</f>
        <v>0</v>
      </c>
      <c r="N93" s="3">
        <f>SUM(day_cash[[#Headers],[Other Cost]]:day_cash[[#This Row],[Other Cost]])</f>
        <v>26110.06289308174</v>
      </c>
      <c r="O93" s="3">
        <f>SUM(day_cash[[#This Row],[Cumulative Labor]:[Cumulative Other]])</f>
        <v>401865.92303487961</v>
      </c>
      <c r="P93" s="3">
        <f>SUM(day_cash[[#Headers],[Revenue]]:day_cash[[#This Row],[Revenue]])</f>
        <v>84628.471424665069</v>
      </c>
    </row>
    <row r="94" spans="2:16" x14ac:dyDescent="0.45">
      <c r="B94" s="1">
        <v>46477</v>
      </c>
      <c r="C94" s="4">
        <f>SUMIFS(schedule[Labor CPP], schedule[Start Date],"&lt;="&amp;day_cash[[#This Row],[Date]], schedule[Finish Date],"&gt;="&amp;day_cash[[#This Row],[Date]])</f>
        <v>8679.8303349422258</v>
      </c>
      <c r="D94" s="4">
        <f>SUMIFS(schedule[Material CPP], schedule[Start Date],"&lt;="&amp;day_cash[[#This Row],[Date]]-$D$2, schedule[Finish Date],"&gt;="&amp;day_cash[[#This Row],[Date]]-$D$2)</f>
        <v>1381.578947368421</v>
      </c>
      <c r="E94" s="4">
        <f>SUMIFS(schedule[Equipment CPP], schedule[Start Date],"&lt;="&amp;day_cash[[#This Row],[Date]]-$E$2, schedule[Finish Date],"&gt;="&amp;day_cash[[#This Row],[Date]]-$E$2)</f>
        <v>761.17179741807354</v>
      </c>
      <c r="F94" s="4">
        <f>SUMIFS(schedule[Sub CPP], schedule[Start Date],"&lt;="&amp;day_cash[[#This Row],[Date]]-$F$2, schedule[Finish Date],"&gt;="&amp;day_cash[[#This Row],[Date]]-$F$2)</f>
        <v>0</v>
      </c>
      <c r="G94" s="3">
        <f>SUMIFS(schedule[Other CPP], schedule[Start Date],"&lt;="&amp;day_cash[[#This Row],[Date]]-$G$2, schedule[Finish Date],"&gt;="&amp;day_cash[[#This Row],[Date]]-$G$2)</f>
        <v>314.46540880503147</v>
      </c>
      <c r="H94" s="3">
        <f>SUM(day_cash[[#This Row],[Labor Cost]:[Other Cost]])</f>
        <v>11137.046488533753</v>
      </c>
      <c r="I94" s="3">
        <f>SUMIFS(schedule[Revenue per Day], schedule[Start Date],"&lt;="&amp;day_cash[[#This Row],[Date]]-$I$2, schedule[Finish Date],"&gt;="&amp;day_cash[[#This Row],[Date]]-$I$2)</f>
        <v>3771.4629477713975</v>
      </c>
      <c r="J94" s="3">
        <f>SUM(day_cash[[#Headers],[Labor Cost]]:day_cash[[#This Row],[Labor Cost]])</f>
        <v>319625.85929501214</v>
      </c>
      <c r="K94" s="3">
        <f>SUM(day_cash[[#Headers],[Material Cost]]:day_cash[[#This Row],[Material Cost]])</f>
        <v>35723.684210526313</v>
      </c>
      <c r="L94" s="3">
        <f>SUM(day_cash[[#Headers],[Equipment Cost]]:day_cash[[#This Row],[Equipment Cost]])</f>
        <v>31228.897715988071</v>
      </c>
      <c r="M94" s="3">
        <f>SUM(day_cash[[#Headers],[Sub Cost]]:day_cash[[#This Row],[Sub Cost]])</f>
        <v>0</v>
      </c>
      <c r="N94" s="3">
        <f>SUM(day_cash[[#Headers],[Other Cost]]:day_cash[[#This Row],[Other Cost]])</f>
        <v>26424.52830188677</v>
      </c>
      <c r="O94" s="3">
        <f>SUM(day_cash[[#This Row],[Cumulative Labor]:[Cumulative Other]])</f>
        <v>413002.96952341322</v>
      </c>
      <c r="P94" s="3">
        <f>SUM(day_cash[[#Headers],[Revenue]]:day_cash[[#This Row],[Revenue]])</f>
        <v>88399.934372436473</v>
      </c>
    </row>
    <row r="95" spans="2:16" x14ac:dyDescent="0.45">
      <c r="B95" s="1">
        <v>46478</v>
      </c>
      <c r="C95" s="4">
        <f>SUMIFS(schedule[Labor CPP], schedule[Start Date],"&lt;="&amp;day_cash[[#This Row],[Date]], schedule[Finish Date],"&gt;="&amp;day_cash[[#This Row],[Date]])</f>
        <v>8679.8303349422258</v>
      </c>
      <c r="D95" s="4">
        <f>SUMIFS(schedule[Material CPP], schedule[Start Date],"&lt;="&amp;day_cash[[#This Row],[Date]]-$D$2, schedule[Finish Date],"&gt;="&amp;day_cash[[#This Row],[Date]]-$D$2)</f>
        <v>1381.578947368421</v>
      </c>
      <c r="E95" s="4">
        <f>SUMIFS(schedule[Equipment CPP], schedule[Start Date],"&lt;="&amp;day_cash[[#This Row],[Date]]-$E$2, schedule[Finish Date],"&gt;="&amp;day_cash[[#This Row],[Date]]-$E$2)</f>
        <v>761.17179741807354</v>
      </c>
      <c r="F95" s="4">
        <f>SUMIFS(schedule[Sub CPP], schedule[Start Date],"&lt;="&amp;day_cash[[#This Row],[Date]]-$F$2, schedule[Finish Date],"&gt;="&amp;day_cash[[#This Row],[Date]]-$F$2)</f>
        <v>0</v>
      </c>
      <c r="G95" s="3">
        <f>SUMIFS(schedule[Other CPP], schedule[Start Date],"&lt;="&amp;day_cash[[#This Row],[Date]]-$G$2, schedule[Finish Date],"&gt;="&amp;day_cash[[#This Row],[Date]]-$G$2)</f>
        <v>314.46540880503147</v>
      </c>
      <c r="H95" s="3">
        <f>SUM(day_cash[[#This Row],[Labor Cost]:[Other Cost]])</f>
        <v>11137.046488533753</v>
      </c>
      <c r="I95" s="3">
        <f>SUMIFS(schedule[Revenue per Day], schedule[Start Date],"&lt;="&amp;day_cash[[#This Row],[Date]]-$I$2, schedule[Finish Date],"&gt;="&amp;day_cash[[#This Row],[Date]]-$I$2)</f>
        <v>3771.4629477713975</v>
      </c>
      <c r="J95" s="3">
        <f>SUM(day_cash[[#Headers],[Labor Cost]]:day_cash[[#This Row],[Labor Cost]])</f>
        <v>328305.68962995434</v>
      </c>
      <c r="K95" s="3">
        <f>SUM(day_cash[[#Headers],[Material Cost]]:day_cash[[#This Row],[Material Cost]])</f>
        <v>37105.263157894733</v>
      </c>
      <c r="L95" s="3">
        <f>SUM(day_cash[[#Headers],[Equipment Cost]]:day_cash[[#This Row],[Equipment Cost]])</f>
        <v>31990.069513406143</v>
      </c>
      <c r="M95" s="3">
        <f>SUM(day_cash[[#Headers],[Sub Cost]]:day_cash[[#This Row],[Sub Cost]])</f>
        <v>0</v>
      </c>
      <c r="N95" s="3">
        <f>SUM(day_cash[[#Headers],[Other Cost]]:day_cash[[#This Row],[Other Cost]])</f>
        <v>26738.993710691801</v>
      </c>
      <c r="O95" s="3">
        <f>SUM(day_cash[[#This Row],[Cumulative Labor]:[Cumulative Other]])</f>
        <v>424140.01601194701</v>
      </c>
      <c r="P95" s="3">
        <f>SUM(day_cash[[#Headers],[Revenue]]:day_cash[[#This Row],[Revenue]])</f>
        <v>92171.397320207878</v>
      </c>
    </row>
    <row r="96" spans="2:16" x14ac:dyDescent="0.45">
      <c r="B96" s="1">
        <v>46479</v>
      </c>
      <c r="C96" s="4">
        <f>SUMIFS(schedule[Labor CPP], schedule[Start Date],"&lt;="&amp;day_cash[[#This Row],[Date]], schedule[Finish Date],"&gt;="&amp;day_cash[[#This Row],[Date]])</f>
        <v>10581.238785646452</v>
      </c>
      <c r="D96" s="4">
        <f>SUMIFS(schedule[Material CPP], schedule[Start Date],"&lt;="&amp;day_cash[[#This Row],[Date]]-$D$2, schedule[Finish Date],"&gt;="&amp;day_cash[[#This Row],[Date]]-$D$2)</f>
        <v>1381.578947368421</v>
      </c>
      <c r="E96" s="4">
        <f>SUMIFS(schedule[Equipment CPP], schedule[Start Date],"&lt;="&amp;day_cash[[#This Row],[Date]]-$E$2, schedule[Finish Date],"&gt;="&amp;day_cash[[#This Row],[Date]]-$E$2)</f>
        <v>761.17179741807354</v>
      </c>
      <c r="F96" s="4">
        <f>SUMIFS(schedule[Sub CPP], schedule[Start Date],"&lt;="&amp;day_cash[[#This Row],[Date]]-$F$2, schedule[Finish Date],"&gt;="&amp;day_cash[[#This Row],[Date]]-$F$2)</f>
        <v>4736.8421052631575</v>
      </c>
      <c r="G96" s="3">
        <f>SUMIFS(schedule[Other CPP], schedule[Start Date],"&lt;="&amp;day_cash[[#This Row],[Date]]-$G$2, schedule[Finish Date],"&gt;="&amp;day_cash[[#This Row],[Date]]-$G$2)</f>
        <v>314.46540880503147</v>
      </c>
      <c r="H96" s="3">
        <f>SUM(day_cash[[#This Row],[Labor Cost]:[Other Cost]])</f>
        <v>17775.297044501134</v>
      </c>
      <c r="I96" s="3">
        <f>SUMIFS(schedule[Revenue per Day], schedule[Start Date],"&lt;="&amp;day_cash[[#This Row],[Date]]-$I$2, schedule[Finish Date],"&gt;="&amp;day_cash[[#This Row],[Date]]-$I$2)</f>
        <v>9645.1471582977138</v>
      </c>
      <c r="J96" s="3">
        <f>SUM(day_cash[[#Headers],[Labor Cost]]:day_cash[[#This Row],[Labor Cost]])</f>
        <v>338886.92841560079</v>
      </c>
      <c r="K96" s="3">
        <f>SUM(day_cash[[#Headers],[Material Cost]]:day_cash[[#This Row],[Material Cost]])</f>
        <v>38486.842105263153</v>
      </c>
      <c r="L96" s="3">
        <f>SUM(day_cash[[#Headers],[Equipment Cost]]:day_cash[[#This Row],[Equipment Cost]])</f>
        <v>32751.241310824214</v>
      </c>
      <c r="M96" s="3">
        <f>SUM(day_cash[[#Headers],[Sub Cost]]:day_cash[[#This Row],[Sub Cost]])</f>
        <v>4736.8421052631575</v>
      </c>
      <c r="N96" s="3">
        <f>SUM(day_cash[[#Headers],[Other Cost]]:day_cash[[#This Row],[Other Cost]])</f>
        <v>27053.459119496831</v>
      </c>
      <c r="O96" s="3">
        <f>SUM(day_cash[[#This Row],[Cumulative Labor]:[Cumulative Other]])</f>
        <v>441915.31305644813</v>
      </c>
      <c r="P96" s="3">
        <f>SUM(day_cash[[#Headers],[Revenue]]:day_cash[[#This Row],[Revenue]])</f>
        <v>101816.54447850559</v>
      </c>
    </row>
    <row r="97" spans="2:16" x14ac:dyDescent="0.45">
      <c r="B97" s="1">
        <v>46480</v>
      </c>
      <c r="C97" s="4">
        <f>SUMIFS(schedule[Labor CPP], schedule[Start Date],"&lt;="&amp;day_cash[[#This Row],[Date]], schedule[Finish Date],"&gt;="&amp;day_cash[[#This Row],[Date]])</f>
        <v>6914.572118979785</v>
      </c>
      <c r="D97" s="4">
        <f>SUMIFS(schedule[Material CPP], schedule[Start Date],"&lt;="&amp;day_cash[[#This Row],[Date]]-$D$2, schedule[Finish Date],"&gt;="&amp;day_cash[[#This Row],[Date]]-$D$2)</f>
        <v>1381.578947368421</v>
      </c>
      <c r="E97" s="4">
        <f>SUMIFS(schedule[Equipment CPP], schedule[Start Date],"&lt;="&amp;day_cash[[#This Row],[Date]]-$E$2, schedule[Finish Date],"&gt;="&amp;day_cash[[#This Row],[Date]]-$E$2)</f>
        <v>761.17179741807354</v>
      </c>
      <c r="F97" s="4">
        <f>SUMIFS(schedule[Sub CPP], schedule[Start Date],"&lt;="&amp;day_cash[[#This Row],[Date]]-$F$2, schedule[Finish Date],"&gt;="&amp;day_cash[[#This Row],[Date]]-$F$2)</f>
        <v>4736.8421052631575</v>
      </c>
      <c r="G97" s="3">
        <f>SUMIFS(schedule[Other CPP], schedule[Start Date],"&lt;="&amp;day_cash[[#This Row],[Date]]-$G$2, schedule[Finish Date],"&gt;="&amp;day_cash[[#This Row],[Date]]-$G$2)</f>
        <v>314.46540880503147</v>
      </c>
      <c r="H97" s="3">
        <f>SUM(day_cash[[#This Row],[Labor Cost]:[Other Cost]])</f>
        <v>14108.630377834468</v>
      </c>
      <c r="I97" s="3">
        <f>SUMIFS(schedule[Revenue per Day], schedule[Start Date],"&lt;="&amp;day_cash[[#This Row],[Date]]-$I$2, schedule[Finish Date],"&gt;="&amp;day_cash[[#This Row],[Date]]-$I$2)</f>
        <v>9645.1471582977138</v>
      </c>
      <c r="J97" s="3">
        <f>SUM(day_cash[[#Headers],[Labor Cost]]:day_cash[[#This Row],[Labor Cost]])</f>
        <v>345801.50053458055</v>
      </c>
      <c r="K97" s="3">
        <f>SUM(day_cash[[#Headers],[Material Cost]]:day_cash[[#This Row],[Material Cost]])</f>
        <v>39868.421052631573</v>
      </c>
      <c r="L97" s="3">
        <f>SUM(day_cash[[#Headers],[Equipment Cost]]:day_cash[[#This Row],[Equipment Cost]])</f>
        <v>33512.41310824229</v>
      </c>
      <c r="M97" s="3">
        <f>SUM(day_cash[[#Headers],[Sub Cost]]:day_cash[[#This Row],[Sub Cost]])</f>
        <v>9473.6842105263149</v>
      </c>
      <c r="N97" s="3">
        <f>SUM(day_cash[[#Headers],[Other Cost]]:day_cash[[#This Row],[Other Cost]])</f>
        <v>27367.924528301861</v>
      </c>
      <c r="O97" s="3">
        <f>SUM(day_cash[[#This Row],[Cumulative Labor]:[Cumulative Other]])</f>
        <v>456023.94343428256</v>
      </c>
      <c r="P97" s="3">
        <f>SUM(day_cash[[#Headers],[Revenue]]:day_cash[[#This Row],[Revenue]])</f>
        <v>111461.6916368033</v>
      </c>
    </row>
    <row r="98" spans="2:16" x14ac:dyDescent="0.45">
      <c r="B98" s="1">
        <v>46481</v>
      </c>
      <c r="C98" s="4">
        <f>SUMIFS(schedule[Labor CPP], schedule[Start Date],"&lt;="&amp;day_cash[[#This Row],[Date]], schedule[Finish Date],"&gt;="&amp;day_cash[[#This Row],[Date]])</f>
        <v>6914.572118979785</v>
      </c>
      <c r="D98" s="4">
        <f>SUMIFS(schedule[Material CPP], schedule[Start Date],"&lt;="&amp;day_cash[[#This Row],[Date]]-$D$2, schedule[Finish Date],"&gt;="&amp;day_cash[[#This Row],[Date]]-$D$2)</f>
        <v>3125.7649938800487</v>
      </c>
      <c r="E98" s="4">
        <f>SUMIFS(schedule[Equipment CPP], schedule[Start Date],"&lt;="&amp;day_cash[[#This Row],[Date]]-$E$2, schedule[Finish Date],"&gt;="&amp;day_cash[[#This Row],[Date]]-$E$2)</f>
        <v>761.17179741807354</v>
      </c>
      <c r="F98" s="4">
        <f>SUMIFS(schedule[Sub CPP], schedule[Start Date],"&lt;="&amp;day_cash[[#This Row],[Date]]-$F$2, schedule[Finish Date],"&gt;="&amp;day_cash[[#This Row],[Date]]-$F$2)</f>
        <v>4736.8421052631575</v>
      </c>
      <c r="G98" s="3">
        <f>SUMIFS(schedule[Other CPP], schedule[Start Date],"&lt;="&amp;day_cash[[#This Row],[Date]]-$G$2, schedule[Finish Date],"&gt;="&amp;day_cash[[#This Row],[Date]]-$G$2)</f>
        <v>314.46540880503147</v>
      </c>
      <c r="H98" s="3">
        <f>SUM(day_cash[[#This Row],[Labor Cost]:[Other Cost]])</f>
        <v>15852.816424346098</v>
      </c>
      <c r="I98" s="3">
        <f>SUMIFS(schedule[Revenue per Day], schedule[Start Date],"&lt;="&amp;day_cash[[#This Row],[Date]]-$I$2, schedule[Finish Date],"&gt;="&amp;day_cash[[#This Row],[Date]]-$I$2)</f>
        <v>9645.1471582977138</v>
      </c>
      <c r="J98" s="3">
        <f>SUM(day_cash[[#Headers],[Labor Cost]]:day_cash[[#This Row],[Labor Cost]])</f>
        <v>352716.07265356032</v>
      </c>
      <c r="K98" s="3">
        <f>SUM(day_cash[[#Headers],[Material Cost]]:day_cash[[#This Row],[Material Cost]])</f>
        <v>42994.186046511619</v>
      </c>
      <c r="L98" s="3">
        <f>SUM(day_cash[[#Headers],[Equipment Cost]]:day_cash[[#This Row],[Equipment Cost]])</f>
        <v>34273.584905660362</v>
      </c>
      <c r="M98" s="3">
        <f>SUM(day_cash[[#Headers],[Sub Cost]]:day_cash[[#This Row],[Sub Cost]])</f>
        <v>14210.526315789473</v>
      </c>
      <c r="N98" s="3">
        <f>SUM(day_cash[[#Headers],[Other Cost]]:day_cash[[#This Row],[Other Cost]])</f>
        <v>27682.389937106891</v>
      </c>
      <c r="O98" s="3">
        <f>SUM(day_cash[[#This Row],[Cumulative Labor]:[Cumulative Other]])</f>
        <v>471876.75985862868</v>
      </c>
      <c r="P98" s="3">
        <f>SUM(day_cash[[#Headers],[Revenue]]:day_cash[[#This Row],[Revenue]])</f>
        <v>121106.83879510101</v>
      </c>
    </row>
    <row r="99" spans="2:16" x14ac:dyDescent="0.45">
      <c r="B99" s="1">
        <v>46482</v>
      </c>
      <c r="C99" s="4">
        <f>SUMIFS(schedule[Labor CPP], schedule[Start Date],"&lt;="&amp;day_cash[[#This Row],[Date]], schedule[Finish Date],"&gt;="&amp;day_cash[[#This Row],[Date]])</f>
        <v>6914.572118979785</v>
      </c>
      <c r="D99" s="4">
        <f>SUMIFS(schedule[Material CPP], schedule[Start Date],"&lt;="&amp;day_cash[[#This Row],[Date]]-$D$2, schedule[Finish Date],"&gt;="&amp;day_cash[[#This Row],[Date]]-$D$2)</f>
        <v>1744.1860465116279</v>
      </c>
      <c r="E99" s="4">
        <f>SUMIFS(schedule[Equipment CPP], schedule[Start Date],"&lt;="&amp;day_cash[[#This Row],[Date]]-$E$2, schedule[Finish Date],"&gt;="&amp;day_cash[[#This Row],[Date]]-$E$2)</f>
        <v>471.69811320754718</v>
      </c>
      <c r="F99" s="4">
        <f>SUMIFS(schedule[Sub CPP], schedule[Start Date],"&lt;="&amp;day_cash[[#This Row],[Date]]-$F$2, schedule[Finish Date],"&gt;="&amp;day_cash[[#This Row],[Date]]-$F$2)</f>
        <v>4736.8421052631575</v>
      </c>
      <c r="G99" s="3">
        <f>SUMIFS(schedule[Other CPP], schedule[Start Date],"&lt;="&amp;day_cash[[#This Row],[Date]]-$G$2, schedule[Finish Date],"&gt;="&amp;day_cash[[#This Row],[Date]]-$G$2)</f>
        <v>314.46540880503147</v>
      </c>
      <c r="H99" s="3">
        <f>SUM(day_cash[[#This Row],[Labor Cost]:[Other Cost]])</f>
        <v>14181.763792767151</v>
      </c>
      <c r="I99" s="3">
        <f>SUMIFS(schedule[Revenue per Day], schedule[Start Date],"&lt;="&amp;day_cash[[#This Row],[Date]]-$I$2, schedule[Finish Date],"&gt;="&amp;day_cash[[#This Row],[Date]]-$I$2)</f>
        <v>9645.1471582977138</v>
      </c>
      <c r="J99" s="3">
        <f>SUM(day_cash[[#Headers],[Labor Cost]]:day_cash[[#This Row],[Labor Cost]])</f>
        <v>359630.64477254008</v>
      </c>
      <c r="K99" s="3">
        <f>SUM(day_cash[[#Headers],[Material Cost]]:day_cash[[#This Row],[Material Cost]])</f>
        <v>44738.372093023245</v>
      </c>
      <c r="L99" s="3">
        <f>SUM(day_cash[[#Headers],[Equipment Cost]]:day_cash[[#This Row],[Equipment Cost]])</f>
        <v>34745.283018867907</v>
      </c>
      <c r="M99" s="3">
        <f>SUM(day_cash[[#Headers],[Sub Cost]]:day_cash[[#This Row],[Sub Cost]])</f>
        <v>18947.36842105263</v>
      </c>
      <c r="N99" s="3">
        <f>SUM(day_cash[[#Headers],[Other Cost]]:day_cash[[#This Row],[Other Cost]])</f>
        <v>27996.855345911921</v>
      </c>
      <c r="O99" s="3">
        <f>SUM(day_cash[[#This Row],[Cumulative Labor]:[Cumulative Other]])</f>
        <v>486058.52365139581</v>
      </c>
      <c r="P99" s="3">
        <f>SUM(day_cash[[#Headers],[Revenue]]:day_cash[[#This Row],[Revenue]])</f>
        <v>130751.98595339872</v>
      </c>
    </row>
    <row r="100" spans="2:16" x14ac:dyDescent="0.45">
      <c r="B100" s="1">
        <v>46483</v>
      </c>
      <c r="C100" s="4">
        <f>SUMIFS(schedule[Labor CPP], schedule[Start Date],"&lt;="&amp;day_cash[[#This Row],[Date]], schedule[Finish Date],"&gt;="&amp;day_cash[[#This Row],[Date]])</f>
        <v>6914.572118979785</v>
      </c>
      <c r="D100" s="4">
        <f>SUMIFS(schedule[Material CPP], schedule[Start Date],"&lt;="&amp;day_cash[[#This Row],[Date]]-$D$2, schedule[Finish Date],"&gt;="&amp;day_cash[[#This Row],[Date]]-$D$2)</f>
        <v>1744.1860465116279</v>
      </c>
      <c r="E100" s="4">
        <f>SUMIFS(schedule[Equipment CPP], schedule[Start Date],"&lt;="&amp;day_cash[[#This Row],[Date]]-$E$2, schedule[Finish Date],"&gt;="&amp;day_cash[[#This Row],[Date]]-$E$2)</f>
        <v>471.69811320754718</v>
      </c>
      <c r="F100" s="4">
        <f>SUMIFS(schedule[Sub CPP], schedule[Start Date],"&lt;="&amp;day_cash[[#This Row],[Date]]-$F$2, schedule[Finish Date],"&gt;="&amp;day_cash[[#This Row],[Date]]-$F$2)</f>
        <v>4736.8421052631575</v>
      </c>
      <c r="G100" s="3">
        <f>SUMIFS(schedule[Other CPP], schedule[Start Date],"&lt;="&amp;day_cash[[#This Row],[Date]]-$G$2, schedule[Finish Date],"&gt;="&amp;day_cash[[#This Row],[Date]]-$G$2)</f>
        <v>314.46540880503147</v>
      </c>
      <c r="H100" s="3">
        <f>SUM(day_cash[[#This Row],[Labor Cost]:[Other Cost]])</f>
        <v>14181.763792767151</v>
      </c>
      <c r="I100" s="3">
        <f>SUMIFS(schedule[Revenue per Day], schedule[Start Date],"&lt;="&amp;day_cash[[#This Row],[Date]]-$I$2, schedule[Finish Date],"&gt;="&amp;day_cash[[#This Row],[Date]]-$I$2)</f>
        <v>9645.1471582977138</v>
      </c>
      <c r="J100" s="3">
        <f>SUM(day_cash[[#Headers],[Labor Cost]]:day_cash[[#This Row],[Labor Cost]])</f>
        <v>366545.21689151984</v>
      </c>
      <c r="K100" s="3">
        <f>SUM(day_cash[[#Headers],[Material Cost]]:day_cash[[#This Row],[Material Cost]])</f>
        <v>46482.558139534871</v>
      </c>
      <c r="L100" s="3">
        <f>SUM(day_cash[[#Headers],[Equipment Cost]]:day_cash[[#This Row],[Equipment Cost]])</f>
        <v>35216.981132075452</v>
      </c>
      <c r="M100" s="3">
        <f>SUM(day_cash[[#Headers],[Sub Cost]]:day_cash[[#This Row],[Sub Cost]])</f>
        <v>23684.210526315786</v>
      </c>
      <c r="N100" s="3">
        <f>SUM(day_cash[[#Headers],[Other Cost]]:day_cash[[#This Row],[Other Cost]])</f>
        <v>28311.320754716951</v>
      </c>
      <c r="O100" s="3">
        <f>SUM(day_cash[[#This Row],[Cumulative Labor]:[Cumulative Other]])</f>
        <v>500240.28744416288</v>
      </c>
      <c r="P100" s="3">
        <f>SUM(day_cash[[#Headers],[Revenue]]:day_cash[[#This Row],[Revenue]])</f>
        <v>140397.13311169643</v>
      </c>
    </row>
    <row r="101" spans="2:16" x14ac:dyDescent="0.45">
      <c r="B101" s="1">
        <v>46484</v>
      </c>
      <c r="C101" s="4">
        <f>SUMIFS(schedule[Labor CPP], schedule[Start Date],"&lt;="&amp;day_cash[[#This Row],[Date]], schedule[Finish Date],"&gt;="&amp;day_cash[[#This Row],[Date]])</f>
        <v>6914.572118979785</v>
      </c>
      <c r="D101" s="4">
        <f>SUMIFS(schedule[Material CPP], schedule[Start Date],"&lt;="&amp;day_cash[[#This Row],[Date]]-$D$2, schedule[Finish Date],"&gt;="&amp;day_cash[[#This Row],[Date]]-$D$2)</f>
        <v>1744.1860465116279</v>
      </c>
      <c r="E101" s="4">
        <f>SUMIFS(schedule[Equipment CPP], schedule[Start Date],"&lt;="&amp;day_cash[[#This Row],[Date]]-$E$2, schedule[Finish Date],"&gt;="&amp;day_cash[[#This Row],[Date]]-$E$2)</f>
        <v>471.69811320754718</v>
      </c>
      <c r="F101" s="4">
        <f>SUMIFS(schedule[Sub CPP], schedule[Start Date],"&lt;="&amp;day_cash[[#This Row],[Date]]-$F$2, schedule[Finish Date],"&gt;="&amp;day_cash[[#This Row],[Date]]-$F$2)</f>
        <v>4736.8421052631575</v>
      </c>
      <c r="G101" s="3">
        <f>SUMIFS(schedule[Other CPP], schedule[Start Date],"&lt;="&amp;day_cash[[#This Row],[Date]]-$G$2, schedule[Finish Date],"&gt;="&amp;day_cash[[#This Row],[Date]]-$G$2)</f>
        <v>314.46540880503147</v>
      </c>
      <c r="H101" s="3">
        <f>SUM(day_cash[[#This Row],[Labor Cost]:[Other Cost]])</f>
        <v>14181.763792767151</v>
      </c>
      <c r="I101" s="3">
        <f>SUMIFS(schedule[Revenue per Day], schedule[Start Date],"&lt;="&amp;day_cash[[#This Row],[Date]]-$I$2, schedule[Finish Date],"&gt;="&amp;day_cash[[#This Row],[Date]]-$I$2)</f>
        <v>9645.1471582977138</v>
      </c>
      <c r="J101" s="3">
        <f>SUM(day_cash[[#Headers],[Labor Cost]]:day_cash[[#This Row],[Labor Cost]])</f>
        <v>373459.7890104996</v>
      </c>
      <c r="K101" s="3">
        <f>SUM(day_cash[[#Headers],[Material Cost]]:day_cash[[#This Row],[Material Cost]])</f>
        <v>48226.744186046497</v>
      </c>
      <c r="L101" s="3">
        <f>SUM(day_cash[[#Headers],[Equipment Cost]]:day_cash[[#This Row],[Equipment Cost]])</f>
        <v>35688.679245282998</v>
      </c>
      <c r="M101" s="3">
        <f>SUM(day_cash[[#Headers],[Sub Cost]]:day_cash[[#This Row],[Sub Cost]])</f>
        <v>28421.052631578943</v>
      </c>
      <c r="N101" s="3">
        <f>SUM(day_cash[[#Headers],[Other Cost]]:day_cash[[#This Row],[Other Cost]])</f>
        <v>28625.786163521982</v>
      </c>
      <c r="O101" s="3">
        <f>SUM(day_cash[[#This Row],[Cumulative Labor]:[Cumulative Other]])</f>
        <v>514422.05123693001</v>
      </c>
      <c r="P101" s="3">
        <f>SUM(day_cash[[#Headers],[Revenue]]:day_cash[[#This Row],[Revenue]])</f>
        <v>150042.28026999414</v>
      </c>
    </row>
    <row r="102" spans="2:16" x14ac:dyDescent="0.45">
      <c r="B102" s="1">
        <v>46485</v>
      </c>
      <c r="C102" s="4">
        <f>SUMIFS(schedule[Labor CPP], schedule[Start Date],"&lt;="&amp;day_cash[[#This Row],[Date]], schedule[Finish Date],"&gt;="&amp;day_cash[[#This Row],[Date]])</f>
        <v>6914.572118979785</v>
      </c>
      <c r="D102" s="4">
        <f>SUMIFS(schedule[Material CPP], schedule[Start Date],"&lt;="&amp;day_cash[[#This Row],[Date]]-$D$2, schedule[Finish Date],"&gt;="&amp;day_cash[[#This Row],[Date]]-$D$2)</f>
        <v>1744.1860465116279</v>
      </c>
      <c r="E102" s="4">
        <f>SUMIFS(schedule[Equipment CPP], schedule[Start Date],"&lt;="&amp;day_cash[[#This Row],[Date]]-$E$2, schedule[Finish Date],"&gt;="&amp;day_cash[[#This Row],[Date]]-$E$2)</f>
        <v>471.69811320754718</v>
      </c>
      <c r="F102" s="4">
        <f>SUMIFS(schedule[Sub CPP], schedule[Start Date],"&lt;="&amp;day_cash[[#This Row],[Date]]-$F$2, schedule[Finish Date],"&gt;="&amp;day_cash[[#This Row],[Date]]-$F$2)</f>
        <v>4736.8421052631575</v>
      </c>
      <c r="G102" s="3">
        <f>SUMIFS(schedule[Other CPP], schedule[Start Date],"&lt;="&amp;day_cash[[#This Row],[Date]]-$G$2, schedule[Finish Date],"&gt;="&amp;day_cash[[#This Row],[Date]]-$G$2)</f>
        <v>314.46540880503147</v>
      </c>
      <c r="H102" s="3">
        <f>SUM(day_cash[[#This Row],[Labor Cost]:[Other Cost]])</f>
        <v>14181.763792767151</v>
      </c>
      <c r="I102" s="3">
        <f>SUMIFS(schedule[Revenue per Day], schedule[Start Date],"&lt;="&amp;day_cash[[#This Row],[Date]]-$I$2, schedule[Finish Date],"&gt;="&amp;day_cash[[#This Row],[Date]]-$I$2)</f>
        <v>9645.1471582977138</v>
      </c>
      <c r="J102" s="3">
        <f>SUM(day_cash[[#Headers],[Labor Cost]]:day_cash[[#This Row],[Labor Cost]])</f>
        <v>380374.36112947937</v>
      </c>
      <c r="K102" s="3">
        <f>SUM(day_cash[[#Headers],[Material Cost]]:day_cash[[#This Row],[Material Cost]])</f>
        <v>49970.930232558123</v>
      </c>
      <c r="L102" s="3">
        <f>SUM(day_cash[[#Headers],[Equipment Cost]]:day_cash[[#This Row],[Equipment Cost]])</f>
        <v>36160.377358490543</v>
      </c>
      <c r="M102" s="3">
        <f>SUM(day_cash[[#Headers],[Sub Cost]]:day_cash[[#This Row],[Sub Cost]])</f>
        <v>33157.8947368421</v>
      </c>
      <c r="N102" s="3">
        <f>SUM(day_cash[[#Headers],[Other Cost]]:day_cash[[#This Row],[Other Cost]])</f>
        <v>28940.251572327012</v>
      </c>
      <c r="O102" s="3">
        <f>SUM(day_cash[[#This Row],[Cumulative Labor]:[Cumulative Other]])</f>
        <v>528603.81502969714</v>
      </c>
      <c r="P102" s="3">
        <f>SUM(day_cash[[#Headers],[Revenue]]:day_cash[[#This Row],[Revenue]])</f>
        <v>159687.42742829185</v>
      </c>
    </row>
    <row r="103" spans="2:16" x14ac:dyDescent="0.45">
      <c r="B103" s="1">
        <v>46486</v>
      </c>
      <c r="C103" s="4">
        <f>SUMIFS(schedule[Labor CPP], schedule[Start Date],"&lt;="&amp;day_cash[[#This Row],[Date]], schedule[Finish Date],"&gt;="&amp;day_cash[[#This Row],[Date]])</f>
        <v>6914.572118979785</v>
      </c>
      <c r="D103" s="4">
        <f>SUMIFS(schedule[Material CPP], schedule[Start Date],"&lt;="&amp;day_cash[[#This Row],[Date]]-$D$2, schedule[Finish Date],"&gt;="&amp;day_cash[[#This Row],[Date]]-$D$2)</f>
        <v>1744.1860465116279</v>
      </c>
      <c r="E103" s="4">
        <f>SUMIFS(schedule[Equipment CPP], schedule[Start Date],"&lt;="&amp;day_cash[[#This Row],[Date]]-$E$2, schedule[Finish Date],"&gt;="&amp;day_cash[[#This Row],[Date]]-$E$2)</f>
        <v>471.69811320754718</v>
      </c>
      <c r="F103" s="4">
        <f>SUMIFS(schedule[Sub CPP], schedule[Start Date],"&lt;="&amp;day_cash[[#This Row],[Date]]-$F$2, schedule[Finish Date],"&gt;="&amp;day_cash[[#This Row],[Date]]-$F$2)</f>
        <v>4736.8421052631575</v>
      </c>
      <c r="G103" s="3">
        <f>SUMIFS(schedule[Other CPP], schedule[Start Date],"&lt;="&amp;day_cash[[#This Row],[Date]]-$G$2, schedule[Finish Date],"&gt;="&amp;day_cash[[#This Row],[Date]]-$G$2)</f>
        <v>314.46540880503147</v>
      </c>
      <c r="H103" s="3">
        <f>SUM(day_cash[[#This Row],[Labor Cost]:[Other Cost]])</f>
        <v>14181.763792767151</v>
      </c>
      <c r="I103" s="3">
        <f>SUMIFS(schedule[Revenue per Day], schedule[Start Date],"&lt;="&amp;day_cash[[#This Row],[Date]]-$I$2, schedule[Finish Date],"&gt;="&amp;day_cash[[#This Row],[Date]]-$I$2)</f>
        <v>9645.1471582977138</v>
      </c>
      <c r="J103" s="3">
        <f>SUM(day_cash[[#Headers],[Labor Cost]]:day_cash[[#This Row],[Labor Cost]])</f>
        <v>387288.93324845913</v>
      </c>
      <c r="K103" s="3">
        <f>SUM(day_cash[[#Headers],[Material Cost]]:day_cash[[#This Row],[Material Cost]])</f>
        <v>51715.116279069749</v>
      </c>
      <c r="L103" s="3">
        <f>SUM(day_cash[[#Headers],[Equipment Cost]]:day_cash[[#This Row],[Equipment Cost]])</f>
        <v>36632.075471698088</v>
      </c>
      <c r="M103" s="3">
        <f>SUM(day_cash[[#Headers],[Sub Cost]]:day_cash[[#This Row],[Sub Cost]])</f>
        <v>37894.73684210526</v>
      </c>
      <c r="N103" s="3">
        <f>SUM(day_cash[[#Headers],[Other Cost]]:day_cash[[#This Row],[Other Cost]])</f>
        <v>29254.716981132042</v>
      </c>
      <c r="O103" s="3">
        <f>SUM(day_cash[[#This Row],[Cumulative Labor]:[Cumulative Other]])</f>
        <v>542785.57882246422</v>
      </c>
      <c r="P103" s="3">
        <f>SUM(day_cash[[#Headers],[Revenue]]:day_cash[[#This Row],[Revenue]])</f>
        <v>169332.57458658956</v>
      </c>
    </row>
    <row r="104" spans="2:16" x14ac:dyDescent="0.45">
      <c r="B104" s="1">
        <v>46487</v>
      </c>
      <c r="C104" s="4">
        <f>SUMIFS(schedule[Labor CPP], schedule[Start Date],"&lt;="&amp;day_cash[[#This Row],[Date]], schedule[Finish Date],"&gt;="&amp;day_cash[[#This Row],[Date]])</f>
        <v>6914.572118979785</v>
      </c>
      <c r="D104" s="4">
        <f>SUMIFS(schedule[Material CPP], schedule[Start Date],"&lt;="&amp;day_cash[[#This Row],[Date]]-$D$2, schedule[Finish Date],"&gt;="&amp;day_cash[[#This Row],[Date]]-$D$2)</f>
        <v>1744.1860465116279</v>
      </c>
      <c r="E104" s="4">
        <f>SUMIFS(schedule[Equipment CPP], schedule[Start Date],"&lt;="&amp;day_cash[[#This Row],[Date]]-$E$2, schedule[Finish Date],"&gt;="&amp;day_cash[[#This Row],[Date]]-$E$2)</f>
        <v>471.69811320754718</v>
      </c>
      <c r="F104" s="4">
        <f>SUMIFS(schedule[Sub CPP], schedule[Start Date],"&lt;="&amp;day_cash[[#This Row],[Date]]-$F$2, schedule[Finish Date],"&gt;="&amp;day_cash[[#This Row],[Date]]-$F$2)</f>
        <v>4736.8421052631575</v>
      </c>
      <c r="G104" s="3">
        <f>SUMIFS(schedule[Other CPP], schedule[Start Date],"&lt;="&amp;day_cash[[#This Row],[Date]]-$G$2, schedule[Finish Date],"&gt;="&amp;day_cash[[#This Row],[Date]]-$G$2)</f>
        <v>314.46540880503147</v>
      </c>
      <c r="H104" s="3">
        <f>SUM(day_cash[[#This Row],[Labor Cost]:[Other Cost]])</f>
        <v>14181.763792767151</v>
      </c>
      <c r="I104" s="3">
        <f>SUMIFS(schedule[Revenue per Day], schedule[Start Date],"&lt;="&amp;day_cash[[#This Row],[Date]]-$I$2, schedule[Finish Date],"&gt;="&amp;day_cash[[#This Row],[Date]]-$I$2)</f>
        <v>9645.1471582977138</v>
      </c>
      <c r="J104" s="3">
        <f>SUM(day_cash[[#Headers],[Labor Cost]]:day_cash[[#This Row],[Labor Cost]])</f>
        <v>394203.50536743889</v>
      </c>
      <c r="K104" s="3">
        <f>SUM(day_cash[[#Headers],[Material Cost]]:day_cash[[#This Row],[Material Cost]])</f>
        <v>53459.302325581375</v>
      </c>
      <c r="L104" s="3">
        <f>SUM(day_cash[[#Headers],[Equipment Cost]]:day_cash[[#This Row],[Equipment Cost]])</f>
        <v>37103.773584905633</v>
      </c>
      <c r="M104" s="3">
        <f>SUM(day_cash[[#Headers],[Sub Cost]]:day_cash[[#This Row],[Sub Cost]])</f>
        <v>42631.57894736842</v>
      </c>
      <c r="N104" s="3">
        <f>SUM(day_cash[[#Headers],[Other Cost]]:day_cash[[#This Row],[Other Cost]])</f>
        <v>29569.182389937072</v>
      </c>
      <c r="O104" s="3">
        <f>SUM(day_cash[[#This Row],[Cumulative Labor]:[Cumulative Other]])</f>
        <v>556967.34261523141</v>
      </c>
      <c r="P104" s="3">
        <f>SUM(day_cash[[#Headers],[Revenue]]:day_cash[[#This Row],[Revenue]])</f>
        <v>178977.72174488727</v>
      </c>
    </row>
    <row r="105" spans="2:16" x14ac:dyDescent="0.45">
      <c r="B105" s="1">
        <v>46488</v>
      </c>
      <c r="C105" s="4">
        <f>SUMIFS(schedule[Labor CPP], schedule[Start Date],"&lt;="&amp;day_cash[[#This Row],[Date]], schedule[Finish Date],"&gt;="&amp;day_cash[[#This Row],[Date]])</f>
        <v>6914.572118979785</v>
      </c>
      <c r="D105" s="4">
        <f>SUMIFS(schedule[Material CPP], schedule[Start Date],"&lt;="&amp;day_cash[[#This Row],[Date]]-$D$2, schedule[Finish Date],"&gt;="&amp;day_cash[[#This Row],[Date]]-$D$2)</f>
        <v>1744.1860465116279</v>
      </c>
      <c r="E105" s="4">
        <f>SUMIFS(schedule[Equipment CPP], schedule[Start Date],"&lt;="&amp;day_cash[[#This Row],[Date]]-$E$2, schedule[Finish Date],"&gt;="&amp;day_cash[[#This Row],[Date]]-$E$2)</f>
        <v>471.69811320754718</v>
      </c>
      <c r="F105" s="4">
        <f>SUMIFS(schedule[Sub CPP], schedule[Start Date],"&lt;="&amp;day_cash[[#This Row],[Date]]-$F$2, schedule[Finish Date],"&gt;="&amp;day_cash[[#This Row],[Date]]-$F$2)</f>
        <v>4736.8421052631575</v>
      </c>
      <c r="G105" s="3">
        <f>SUMIFS(schedule[Other CPP], schedule[Start Date],"&lt;="&amp;day_cash[[#This Row],[Date]]-$G$2, schedule[Finish Date],"&gt;="&amp;day_cash[[#This Row],[Date]]-$G$2)</f>
        <v>314.46540880503147</v>
      </c>
      <c r="H105" s="3">
        <f>SUM(day_cash[[#This Row],[Labor Cost]:[Other Cost]])</f>
        <v>14181.763792767151</v>
      </c>
      <c r="I105" s="3">
        <f>SUMIFS(schedule[Revenue per Day], schedule[Start Date],"&lt;="&amp;day_cash[[#This Row],[Date]]-$I$2, schedule[Finish Date],"&gt;="&amp;day_cash[[#This Row],[Date]]-$I$2)</f>
        <v>9645.1471582977138</v>
      </c>
      <c r="J105" s="3">
        <f>SUM(day_cash[[#Headers],[Labor Cost]]:day_cash[[#This Row],[Labor Cost]])</f>
        <v>401118.07748641865</v>
      </c>
      <c r="K105" s="3">
        <f>SUM(day_cash[[#Headers],[Material Cost]]:day_cash[[#This Row],[Material Cost]])</f>
        <v>55203.488372093001</v>
      </c>
      <c r="L105" s="3">
        <f>SUM(day_cash[[#Headers],[Equipment Cost]]:day_cash[[#This Row],[Equipment Cost]])</f>
        <v>37575.471698113179</v>
      </c>
      <c r="M105" s="3">
        <f>SUM(day_cash[[#Headers],[Sub Cost]]:day_cash[[#This Row],[Sub Cost]])</f>
        <v>47368.42105263158</v>
      </c>
      <c r="N105" s="3">
        <f>SUM(day_cash[[#Headers],[Other Cost]]:day_cash[[#This Row],[Other Cost]])</f>
        <v>29883.647798742102</v>
      </c>
      <c r="O105" s="3">
        <f>SUM(day_cash[[#This Row],[Cumulative Labor]:[Cumulative Other]])</f>
        <v>571149.10640799848</v>
      </c>
      <c r="P105" s="3">
        <f>SUM(day_cash[[#Headers],[Revenue]]:day_cash[[#This Row],[Revenue]])</f>
        <v>188622.86890318498</v>
      </c>
    </row>
    <row r="106" spans="2:16" x14ac:dyDescent="0.45">
      <c r="B106" s="1">
        <v>46489</v>
      </c>
      <c r="C106" s="4">
        <f>SUMIFS(schedule[Labor CPP], schedule[Start Date],"&lt;="&amp;day_cash[[#This Row],[Date]], schedule[Finish Date],"&gt;="&amp;day_cash[[#This Row],[Date]])</f>
        <v>6914.572118979785</v>
      </c>
      <c r="D106" s="4">
        <f>SUMIFS(schedule[Material CPP], schedule[Start Date],"&lt;="&amp;day_cash[[#This Row],[Date]]-$D$2, schedule[Finish Date],"&gt;="&amp;day_cash[[#This Row],[Date]]-$D$2)</f>
        <v>1744.1860465116279</v>
      </c>
      <c r="E106" s="4">
        <f>SUMIFS(schedule[Equipment CPP], schedule[Start Date],"&lt;="&amp;day_cash[[#This Row],[Date]]-$E$2, schedule[Finish Date],"&gt;="&amp;day_cash[[#This Row],[Date]]-$E$2)</f>
        <v>471.69811320754718</v>
      </c>
      <c r="F106" s="4">
        <f>SUMIFS(schedule[Sub CPP], schedule[Start Date],"&lt;="&amp;day_cash[[#This Row],[Date]]-$F$2, schedule[Finish Date],"&gt;="&amp;day_cash[[#This Row],[Date]]-$F$2)</f>
        <v>4736.8421052631575</v>
      </c>
      <c r="G106" s="3">
        <f>SUMIFS(schedule[Other CPP], schedule[Start Date],"&lt;="&amp;day_cash[[#This Row],[Date]]-$G$2, schedule[Finish Date],"&gt;="&amp;day_cash[[#This Row],[Date]]-$G$2)</f>
        <v>314.46540880503147</v>
      </c>
      <c r="H106" s="3">
        <f>SUM(day_cash[[#This Row],[Labor Cost]:[Other Cost]])</f>
        <v>14181.763792767151</v>
      </c>
      <c r="I106" s="3">
        <f>SUMIFS(schedule[Revenue per Day], schedule[Start Date],"&lt;="&amp;day_cash[[#This Row],[Date]]-$I$2, schedule[Finish Date],"&gt;="&amp;day_cash[[#This Row],[Date]]-$I$2)</f>
        <v>9645.1471582977138</v>
      </c>
      <c r="J106" s="3">
        <f>SUM(day_cash[[#Headers],[Labor Cost]]:day_cash[[#This Row],[Labor Cost]])</f>
        <v>408032.64960539842</v>
      </c>
      <c r="K106" s="3">
        <f>SUM(day_cash[[#Headers],[Material Cost]]:day_cash[[#This Row],[Material Cost]])</f>
        <v>56947.674418604627</v>
      </c>
      <c r="L106" s="3">
        <f>SUM(day_cash[[#Headers],[Equipment Cost]]:day_cash[[#This Row],[Equipment Cost]])</f>
        <v>38047.169811320724</v>
      </c>
      <c r="M106" s="3">
        <f>SUM(day_cash[[#Headers],[Sub Cost]]:day_cash[[#This Row],[Sub Cost]])</f>
        <v>52105.26315789474</v>
      </c>
      <c r="N106" s="3">
        <f>SUM(day_cash[[#Headers],[Other Cost]]:day_cash[[#This Row],[Other Cost]])</f>
        <v>30198.113207547132</v>
      </c>
      <c r="O106" s="3">
        <f>SUM(day_cash[[#This Row],[Cumulative Labor]:[Cumulative Other]])</f>
        <v>585330.87020076567</v>
      </c>
      <c r="P106" s="3">
        <f>SUM(day_cash[[#Headers],[Revenue]]:day_cash[[#This Row],[Revenue]])</f>
        <v>198268.01606148269</v>
      </c>
    </row>
    <row r="107" spans="2:16" x14ac:dyDescent="0.45">
      <c r="B107" s="1">
        <v>46490</v>
      </c>
      <c r="C107" s="4">
        <f>SUMIFS(schedule[Labor CPP], schedule[Start Date],"&lt;="&amp;day_cash[[#This Row],[Date]], schedule[Finish Date],"&gt;="&amp;day_cash[[#This Row],[Date]])</f>
        <v>6914.572118979785</v>
      </c>
      <c r="D107" s="4">
        <f>SUMIFS(schedule[Material CPP], schedule[Start Date],"&lt;="&amp;day_cash[[#This Row],[Date]]-$D$2, schedule[Finish Date],"&gt;="&amp;day_cash[[#This Row],[Date]]-$D$2)</f>
        <v>1744.1860465116279</v>
      </c>
      <c r="E107" s="4">
        <f>SUMIFS(schedule[Equipment CPP], schedule[Start Date],"&lt;="&amp;day_cash[[#This Row],[Date]]-$E$2, schedule[Finish Date],"&gt;="&amp;day_cash[[#This Row],[Date]]-$E$2)</f>
        <v>471.69811320754718</v>
      </c>
      <c r="F107" s="4">
        <f>SUMIFS(schedule[Sub CPP], schedule[Start Date],"&lt;="&amp;day_cash[[#This Row],[Date]]-$F$2, schedule[Finish Date],"&gt;="&amp;day_cash[[#This Row],[Date]]-$F$2)</f>
        <v>4736.8421052631575</v>
      </c>
      <c r="G107" s="3">
        <f>SUMIFS(schedule[Other CPP], schedule[Start Date],"&lt;="&amp;day_cash[[#This Row],[Date]]-$G$2, schedule[Finish Date],"&gt;="&amp;day_cash[[#This Row],[Date]]-$G$2)</f>
        <v>314.46540880503147</v>
      </c>
      <c r="H107" s="3">
        <f>SUM(day_cash[[#This Row],[Labor Cost]:[Other Cost]])</f>
        <v>14181.763792767151</v>
      </c>
      <c r="I107" s="3">
        <f>SUMIFS(schedule[Revenue per Day], schedule[Start Date],"&lt;="&amp;day_cash[[#This Row],[Date]]-$I$2, schedule[Finish Date],"&gt;="&amp;day_cash[[#This Row],[Date]]-$I$2)</f>
        <v>9645.1471582977138</v>
      </c>
      <c r="J107" s="3">
        <f>SUM(day_cash[[#Headers],[Labor Cost]]:day_cash[[#This Row],[Labor Cost]])</f>
        <v>414947.22172437818</v>
      </c>
      <c r="K107" s="3">
        <f>SUM(day_cash[[#Headers],[Material Cost]]:day_cash[[#This Row],[Material Cost]])</f>
        <v>58691.860465116253</v>
      </c>
      <c r="L107" s="3">
        <f>SUM(day_cash[[#Headers],[Equipment Cost]]:day_cash[[#This Row],[Equipment Cost]])</f>
        <v>38518.867924528269</v>
      </c>
      <c r="M107" s="3">
        <f>SUM(day_cash[[#Headers],[Sub Cost]]:day_cash[[#This Row],[Sub Cost]])</f>
        <v>56842.1052631579</v>
      </c>
      <c r="N107" s="3">
        <f>SUM(day_cash[[#Headers],[Other Cost]]:day_cash[[#This Row],[Other Cost]])</f>
        <v>30512.578616352162</v>
      </c>
      <c r="O107" s="3">
        <f>SUM(day_cash[[#This Row],[Cumulative Labor]:[Cumulative Other]])</f>
        <v>599512.63399353274</v>
      </c>
      <c r="P107" s="3">
        <f>SUM(day_cash[[#Headers],[Revenue]]:day_cash[[#This Row],[Revenue]])</f>
        <v>207913.1632197804</v>
      </c>
    </row>
    <row r="108" spans="2:16" x14ac:dyDescent="0.45">
      <c r="B108" s="1">
        <v>46491</v>
      </c>
      <c r="C108" s="4">
        <f>SUMIFS(schedule[Labor CPP], schedule[Start Date],"&lt;="&amp;day_cash[[#This Row],[Date]], schedule[Finish Date],"&gt;="&amp;day_cash[[#This Row],[Date]])</f>
        <v>6914.572118979785</v>
      </c>
      <c r="D108" s="4">
        <f>SUMIFS(schedule[Material CPP], schedule[Start Date],"&lt;="&amp;day_cash[[#This Row],[Date]]-$D$2, schedule[Finish Date],"&gt;="&amp;day_cash[[#This Row],[Date]]-$D$2)</f>
        <v>1744.1860465116279</v>
      </c>
      <c r="E108" s="4">
        <f>SUMIFS(schedule[Equipment CPP], schedule[Start Date],"&lt;="&amp;day_cash[[#This Row],[Date]]-$E$2, schedule[Finish Date],"&gt;="&amp;day_cash[[#This Row],[Date]]-$E$2)</f>
        <v>471.69811320754718</v>
      </c>
      <c r="F108" s="4">
        <f>SUMIFS(schedule[Sub CPP], schedule[Start Date],"&lt;="&amp;day_cash[[#This Row],[Date]]-$F$2, schedule[Finish Date],"&gt;="&amp;day_cash[[#This Row],[Date]]-$F$2)</f>
        <v>4736.8421052631575</v>
      </c>
      <c r="G108" s="3">
        <f>SUMIFS(schedule[Other CPP], schedule[Start Date],"&lt;="&amp;day_cash[[#This Row],[Date]]-$G$2, schedule[Finish Date],"&gt;="&amp;day_cash[[#This Row],[Date]]-$G$2)</f>
        <v>314.46540880503147</v>
      </c>
      <c r="H108" s="3">
        <f>SUM(day_cash[[#This Row],[Labor Cost]:[Other Cost]])</f>
        <v>14181.763792767151</v>
      </c>
      <c r="I108" s="3">
        <f>SUMIFS(schedule[Revenue per Day], schedule[Start Date],"&lt;="&amp;day_cash[[#This Row],[Date]]-$I$2, schedule[Finish Date],"&gt;="&amp;day_cash[[#This Row],[Date]]-$I$2)</f>
        <v>9645.1471582977138</v>
      </c>
      <c r="J108" s="3">
        <f>SUM(day_cash[[#Headers],[Labor Cost]]:day_cash[[#This Row],[Labor Cost]])</f>
        <v>421861.79384335794</v>
      </c>
      <c r="K108" s="3">
        <f>SUM(day_cash[[#Headers],[Material Cost]]:day_cash[[#This Row],[Material Cost]])</f>
        <v>60436.046511627879</v>
      </c>
      <c r="L108" s="3">
        <f>SUM(day_cash[[#Headers],[Equipment Cost]]:day_cash[[#This Row],[Equipment Cost]])</f>
        <v>38990.566037735814</v>
      </c>
      <c r="M108" s="3">
        <f>SUM(day_cash[[#Headers],[Sub Cost]]:day_cash[[#This Row],[Sub Cost]])</f>
        <v>61578.947368421061</v>
      </c>
      <c r="N108" s="3">
        <f>SUM(day_cash[[#Headers],[Other Cost]]:day_cash[[#This Row],[Other Cost]])</f>
        <v>30827.044025157193</v>
      </c>
      <c r="O108" s="3">
        <f>SUM(day_cash[[#This Row],[Cumulative Labor]:[Cumulative Other]])</f>
        <v>613694.39778629981</v>
      </c>
      <c r="P108" s="3">
        <f>SUM(day_cash[[#Headers],[Revenue]]:day_cash[[#This Row],[Revenue]])</f>
        <v>217558.31037807811</v>
      </c>
    </row>
    <row r="109" spans="2:16" x14ac:dyDescent="0.45">
      <c r="B109" s="1">
        <v>46492</v>
      </c>
      <c r="C109" s="4">
        <f>SUMIFS(schedule[Labor CPP], schedule[Start Date],"&lt;="&amp;day_cash[[#This Row],[Date]], schedule[Finish Date],"&gt;="&amp;day_cash[[#This Row],[Date]])</f>
        <v>6914.572118979785</v>
      </c>
      <c r="D109" s="4">
        <f>SUMIFS(schedule[Material CPP], schedule[Start Date],"&lt;="&amp;day_cash[[#This Row],[Date]]-$D$2, schedule[Finish Date],"&gt;="&amp;day_cash[[#This Row],[Date]]-$D$2)</f>
        <v>1744.1860465116279</v>
      </c>
      <c r="E109" s="4">
        <f>SUMIFS(schedule[Equipment CPP], schedule[Start Date],"&lt;="&amp;day_cash[[#This Row],[Date]]-$E$2, schedule[Finish Date],"&gt;="&amp;day_cash[[#This Row],[Date]]-$E$2)</f>
        <v>471.69811320754718</v>
      </c>
      <c r="F109" s="4">
        <f>SUMIFS(schedule[Sub CPP], schedule[Start Date],"&lt;="&amp;day_cash[[#This Row],[Date]]-$F$2, schedule[Finish Date],"&gt;="&amp;day_cash[[#This Row],[Date]]-$F$2)</f>
        <v>4736.8421052631575</v>
      </c>
      <c r="G109" s="3">
        <f>SUMIFS(schedule[Other CPP], schedule[Start Date],"&lt;="&amp;day_cash[[#This Row],[Date]]-$G$2, schedule[Finish Date],"&gt;="&amp;day_cash[[#This Row],[Date]]-$G$2)</f>
        <v>314.46540880503147</v>
      </c>
      <c r="H109" s="3">
        <f>SUM(day_cash[[#This Row],[Labor Cost]:[Other Cost]])</f>
        <v>14181.763792767151</v>
      </c>
      <c r="I109" s="3">
        <f>SUMIFS(schedule[Revenue per Day], schedule[Start Date],"&lt;="&amp;day_cash[[#This Row],[Date]]-$I$2, schedule[Finish Date],"&gt;="&amp;day_cash[[#This Row],[Date]]-$I$2)</f>
        <v>9645.1471582977138</v>
      </c>
      <c r="J109" s="3">
        <f>SUM(day_cash[[#Headers],[Labor Cost]]:day_cash[[#This Row],[Labor Cost]])</f>
        <v>428776.3659623377</v>
      </c>
      <c r="K109" s="3">
        <f>SUM(day_cash[[#Headers],[Material Cost]]:day_cash[[#This Row],[Material Cost]])</f>
        <v>62180.232558139505</v>
      </c>
      <c r="L109" s="3">
        <f>SUM(day_cash[[#Headers],[Equipment Cost]]:day_cash[[#This Row],[Equipment Cost]])</f>
        <v>39462.26415094336</v>
      </c>
      <c r="M109" s="3">
        <f>SUM(day_cash[[#Headers],[Sub Cost]]:day_cash[[#This Row],[Sub Cost]])</f>
        <v>66315.789473684214</v>
      </c>
      <c r="N109" s="3">
        <f>SUM(day_cash[[#Headers],[Other Cost]]:day_cash[[#This Row],[Other Cost]])</f>
        <v>31141.509433962223</v>
      </c>
      <c r="O109" s="3">
        <f>SUM(day_cash[[#This Row],[Cumulative Labor]:[Cumulative Other]])</f>
        <v>627876.16157906689</v>
      </c>
      <c r="P109" s="3">
        <f>SUM(day_cash[[#Headers],[Revenue]]:day_cash[[#This Row],[Revenue]])</f>
        <v>227203.45753637582</v>
      </c>
    </row>
    <row r="110" spans="2:16" x14ac:dyDescent="0.45">
      <c r="B110" s="1">
        <v>46493</v>
      </c>
      <c r="C110" s="4">
        <f>SUMIFS(schedule[Labor CPP], schedule[Start Date],"&lt;="&amp;day_cash[[#This Row],[Date]], schedule[Finish Date],"&gt;="&amp;day_cash[[#This Row],[Date]])</f>
        <v>6914.572118979785</v>
      </c>
      <c r="D110" s="4">
        <f>SUMIFS(schedule[Material CPP], schedule[Start Date],"&lt;="&amp;day_cash[[#This Row],[Date]]-$D$2, schedule[Finish Date],"&gt;="&amp;day_cash[[#This Row],[Date]]-$D$2)</f>
        <v>1744.1860465116279</v>
      </c>
      <c r="E110" s="4">
        <f>SUMIFS(schedule[Equipment CPP], schedule[Start Date],"&lt;="&amp;day_cash[[#This Row],[Date]]-$E$2, schedule[Finish Date],"&gt;="&amp;day_cash[[#This Row],[Date]]-$E$2)</f>
        <v>471.69811320754718</v>
      </c>
      <c r="F110" s="4">
        <f>SUMIFS(schedule[Sub CPP], schedule[Start Date],"&lt;="&amp;day_cash[[#This Row],[Date]]-$F$2, schedule[Finish Date],"&gt;="&amp;day_cash[[#This Row],[Date]]-$F$2)</f>
        <v>4736.8421052631575</v>
      </c>
      <c r="G110" s="3">
        <f>SUMIFS(schedule[Other CPP], schedule[Start Date],"&lt;="&amp;day_cash[[#This Row],[Date]]-$G$2, schedule[Finish Date],"&gt;="&amp;day_cash[[#This Row],[Date]]-$G$2)</f>
        <v>314.46540880503147</v>
      </c>
      <c r="H110" s="3">
        <f>SUM(day_cash[[#This Row],[Labor Cost]:[Other Cost]])</f>
        <v>14181.763792767151</v>
      </c>
      <c r="I110" s="3">
        <f>SUMIFS(schedule[Revenue per Day], schedule[Start Date],"&lt;="&amp;day_cash[[#This Row],[Date]]-$I$2, schedule[Finish Date],"&gt;="&amp;day_cash[[#This Row],[Date]]-$I$2)</f>
        <v>14201.068210929292</v>
      </c>
      <c r="J110" s="3">
        <f>SUM(day_cash[[#Headers],[Labor Cost]]:day_cash[[#This Row],[Labor Cost]])</f>
        <v>435690.93808131746</v>
      </c>
      <c r="K110" s="3">
        <f>SUM(day_cash[[#Headers],[Material Cost]]:day_cash[[#This Row],[Material Cost]])</f>
        <v>63924.418604651131</v>
      </c>
      <c r="L110" s="3">
        <f>SUM(day_cash[[#Headers],[Equipment Cost]]:day_cash[[#This Row],[Equipment Cost]])</f>
        <v>39933.962264150905</v>
      </c>
      <c r="M110" s="3">
        <f>SUM(day_cash[[#Headers],[Sub Cost]]:day_cash[[#This Row],[Sub Cost]])</f>
        <v>71052.631578947374</v>
      </c>
      <c r="N110" s="3">
        <f>SUM(day_cash[[#Headers],[Other Cost]]:day_cash[[#This Row],[Other Cost]])</f>
        <v>31455.974842767253</v>
      </c>
      <c r="O110" s="3">
        <f>SUM(day_cash[[#This Row],[Cumulative Labor]:[Cumulative Other]])</f>
        <v>642057.92537183408</v>
      </c>
      <c r="P110" s="3">
        <f>SUM(day_cash[[#Headers],[Revenue]]:day_cash[[#This Row],[Revenue]])</f>
        <v>241404.5257473051</v>
      </c>
    </row>
    <row r="111" spans="2:16" x14ac:dyDescent="0.45">
      <c r="B111" s="1">
        <v>46494</v>
      </c>
      <c r="C111" s="4">
        <f>SUMIFS(schedule[Labor CPP], schedule[Start Date],"&lt;="&amp;day_cash[[#This Row],[Date]], schedule[Finish Date],"&gt;="&amp;day_cash[[#This Row],[Date]])</f>
        <v>2844.8046771193194</v>
      </c>
      <c r="D111" s="4">
        <f>SUMIFS(schedule[Material CPP], schedule[Start Date],"&lt;="&amp;day_cash[[#This Row],[Date]]-$D$2, schedule[Finish Date],"&gt;="&amp;day_cash[[#This Row],[Date]]-$D$2)</f>
        <v>1744.1860465116279</v>
      </c>
      <c r="E111" s="4">
        <f>SUMIFS(schedule[Equipment CPP], schedule[Start Date],"&lt;="&amp;day_cash[[#This Row],[Date]]-$E$2, schedule[Finish Date],"&gt;="&amp;day_cash[[#This Row],[Date]]-$E$2)</f>
        <v>471.69811320754718</v>
      </c>
      <c r="F111" s="4">
        <f>SUMIFS(schedule[Sub CPP], schedule[Start Date],"&lt;="&amp;day_cash[[#This Row],[Date]]-$F$2, schedule[Finish Date],"&gt;="&amp;day_cash[[#This Row],[Date]]-$F$2)</f>
        <v>4736.8421052631575</v>
      </c>
      <c r="G111" s="3">
        <f>SUMIFS(schedule[Other CPP], schedule[Start Date],"&lt;="&amp;day_cash[[#This Row],[Date]]-$G$2, schedule[Finish Date],"&gt;="&amp;day_cash[[#This Row],[Date]]-$G$2)</f>
        <v>314.46540880503147</v>
      </c>
      <c r="H111" s="3">
        <f>SUM(day_cash[[#This Row],[Labor Cost]:[Other Cost]])</f>
        <v>10111.996350906684</v>
      </c>
      <c r="I111" s="3">
        <f>SUMIFS(schedule[Revenue per Day], schedule[Start Date],"&lt;="&amp;day_cash[[#This Row],[Date]]-$I$2, schedule[Finish Date],"&gt;="&amp;day_cash[[#This Row],[Date]]-$I$2)</f>
        <v>14201.068210929292</v>
      </c>
      <c r="J111" s="3">
        <f>SUM(day_cash[[#Headers],[Labor Cost]]:day_cash[[#This Row],[Labor Cost]])</f>
        <v>438535.74275843677</v>
      </c>
      <c r="K111" s="3">
        <f>SUM(day_cash[[#Headers],[Material Cost]]:day_cash[[#This Row],[Material Cost]])</f>
        <v>65668.604651162765</v>
      </c>
      <c r="L111" s="3">
        <f>SUM(day_cash[[#Headers],[Equipment Cost]]:day_cash[[#This Row],[Equipment Cost]])</f>
        <v>40405.66037735845</v>
      </c>
      <c r="M111" s="3">
        <f>SUM(day_cash[[#Headers],[Sub Cost]]:day_cash[[#This Row],[Sub Cost]])</f>
        <v>75789.473684210534</v>
      </c>
      <c r="N111" s="3">
        <f>SUM(day_cash[[#Headers],[Other Cost]]:day_cash[[#This Row],[Other Cost]])</f>
        <v>31770.440251572283</v>
      </c>
      <c r="O111" s="3">
        <f>SUM(day_cash[[#This Row],[Cumulative Labor]:[Cumulative Other]])</f>
        <v>652169.92172274087</v>
      </c>
      <c r="P111" s="3">
        <f>SUM(day_cash[[#Headers],[Revenue]]:day_cash[[#This Row],[Revenue]])</f>
        <v>255605.59395823439</v>
      </c>
    </row>
    <row r="112" spans="2:16" x14ac:dyDescent="0.45">
      <c r="B112" s="1">
        <v>46495</v>
      </c>
      <c r="C112" s="4">
        <f>SUMIFS(schedule[Labor CPP], schedule[Start Date],"&lt;="&amp;day_cash[[#This Row],[Date]], schedule[Finish Date],"&gt;="&amp;day_cash[[#This Row],[Date]])</f>
        <v>2844.8046771193194</v>
      </c>
      <c r="D112" s="4">
        <f>SUMIFS(schedule[Material CPP], schedule[Start Date],"&lt;="&amp;day_cash[[#This Row],[Date]]-$D$2, schedule[Finish Date],"&gt;="&amp;day_cash[[#This Row],[Date]]-$D$2)</f>
        <v>4910.8527131782939</v>
      </c>
      <c r="E112" s="4">
        <f>SUMIFS(schedule[Equipment CPP], schedule[Start Date],"&lt;="&amp;day_cash[[#This Row],[Date]]-$E$2, schedule[Finish Date],"&gt;="&amp;day_cash[[#This Row],[Date]]-$E$2)</f>
        <v>971.69811320754718</v>
      </c>
      <c r="F112" s="4">
        <f>SUMIFS(schedule[Sub CPP], schedule[Start Date],"&lt;="&amp;day_cash[[#This Row],[Date]]-$F$2, schedule[Finish Date],"&gt;="&amp;day_cash[[#This Row],[Date]]-$F$2)</f>
        <v>4736.8421052631575</v>
      </c>
      <c r="G112" s="3">
        <f>SUMIFS(schedule[Other CPP], schedule[Start Date],"&lt;="&amp;day_cash[[#This Row],[Date]]-$G$2, schedule[Finish Date],"&gt;="&amp;day_cash[[#This Row],[Date]]-$G$2)</f>
        <v>314.46540880503147</v>
      </c>
      <c r="H112" s="3">
        <f>SUM(day_cash[[#This Row],[Labor Cost]:[Other Cost]])</f>
        <v>13778.66301757335</v>
      </c>
      <c r="I112" s="3">
        <f>SUMIFS(schedule[Revenue per Day], schedule[Start Date],"&lt;="&amp;day_cash[[#This Row],[Date]]-$I$2, schedule[Finish Date],"&gt;="&amp;day_cash[[#This Row],[Date]]-$I$2)</f>
        <v>14201.068210929292</v>
      </c>
      <c r="J112" s="3">
        <f>SUM(day_cash[[#Headers],[Labor Cost]]:day_cash[[#This Row],[Labor Cost]])</f>
        <v>441380.54743555607</v>
      </c>
      <c r="K112" s="3">
        <f>SUM(day_cash[[#Headers],[Material Cost]]:day_cash[[#This Row],[Material Cost]])</f>
        <v>70579.457364341055</v>
      </c>
      <c r="L112" s="3">
        <f>SUM(day_cash[[#Headers],[Equipment Cost]]:day_cash[[#This Row],[Equipment Cost]])</f>
        <v>41377.358490565995</v>
      </c>
      <c r="M112" s="3">
        <f>SUM(day_cash[[#Headers],[Sub Cost]]:day_cash[[#This Row],[Sub Cost]])</f>
        <v>80526.315789473694</v>
      </c>
      <c r="N112" s="3">
        <f>SUM(day_cash[[#Headers],[Other Cost]]:day_cash[[#This Row],[Other Cost]])</f>
        <v>32084.905660377313</v>
      </c>
      <c r="O112" s="3">
        <f>SUM(day_cash[[#This Row],[Cumulative Labor]:[Cumulative Other]])</f>
        <v>665948.58474031417</v>
      </c>
      <c r="P112" s="3">
        <f>SUM(day_cash[[#Headers],[Revenue]]:day_cash[[#This Row],[Revenue]])</f>
        <v>269806.6621691637</v>
      </c>
    </row>
    <row r="113" spans="2:16" x14ac:dyDescent="0.45">
      <c r="B113" s="1">
        <v>46496</v>
      </c>
      <c r="C113" s="4">
        <f>SUMIFS(schedule[Labor CPP], schedule[Start Date],"&lt;="&amp;day_cash[[#This Row],[Date]], schedule[Finish Date],"&gt;="&amp;day_cash[[#This Row],[Date]])</f>
        <v>2844.8046771193194</v>
      </c>
      <c r="D113" s="4">
        <f>SUMIFS(schedule[Material CPP], schedule[Start Date],"&lt;="&amp;day_cash[[#This Row],[Date]]-$D$2, schedule[Finish Date],"&gt;="&amp;day_cash[[#This Row],[Date]]-$D$2)</f>
        <v>4910.8527131782939</v>
      </c>
      <c r="E113" s="4">
        <f>SUMIFS(schedule[Equipment CPP], schedule[Start Date],"&lt;="&amp;day_cash[[#This Row],[Date]]-$E$2, schedule[Finish Date],"&gt;="&amp;day_cash[[#This Row],[Date]]-$E$2)</f>
        <v>971.69811320754718</v>
      </c>
      <c r="F113" s="4">
        <f>SUMIFS(schedule[Sub CPP], schedule[Start Date],"&lt;="&amp;day_cash[[#This Row],[Date]]-$F$2, schedule[Finish Date],"&gt;="&amp;day_cash[[#This Row],[Date]]-$F$2)</f>
        <v>4736.8421052631575</v>
      </c>
      <c r="G113" s="3">
        <f>SUMIFS(schedule[Other CPP], schedule[Start Date],"&lt;="&amp;day_cash[[#This Row],[Date]]-$G$2, schedule[Finish Date],"&gt;="&amp;day_cash[[#This Row],[Date]]-$G$2)</f>
        <v>314.46540880503147</v>
      </c>
      <c r="H113" s="3">
        <f>SUM(day_cash[[#This Row],[Labor Cost]:[Other Cost]])</f>
        <v>13778.66301757335</v>
      </c>
      <c r="I113" s="3">
        <f>SUMIFS(schedule[Revenue per Day], schedule[Start Date],"&lt;="&amp;day_cash[[#This Row],[Date]]-$I$2, schedule[Finish Date],"&gt;="&amp;day_cash[[#This Row],[Date]]-$I$2)</f>
        <v>14201.068210929292</v>
      </c>
      <c r="J113" s="3">
        <f>SUM(day_cash[[#Headers],[Labor Cost]]:day_cash[[#This Row],[Labor Cost]])</f>
        <v>444225.35211267538</v>
      </c>
      <c r="K113" s="3">
        <f>SUM(day_cash[[#Headers],[Material Cost]]:day_cash[[#This Row],[Material Cost]])</f>
        <v>75490.310077519345</v>
      </c>
      <c r="L113" s="3">
        <f>SUM(day_cash[[#Headers],[Equipment Cost]]:day_cash[[#This Row],[Equipment Cost]])</f>
        <v>42349.056603773541</v>
      </c>
      <c r="M113" s="3">
        <f>SUM(day_cash[[#Headers],[Sub Cost]]:day_cash[[#This Row],[Sub Cost]])</f>
        <v>85263.157894736854</v>
      </c>
      <c r="N113" s="3">
        <f>SUM(day_cash[[#Headers],[Other Cost]]:day_cash[[#This Row],[Other Cost]])</f>
        <v>32399.371069182343</v>
      </c>
      <c r="O113" s="3">
        <f>SUM(day_cash[[#This Row],[Cumulative Labor]:[Cumulative Other]])</f>
        <v>679727.24775788735</v>
      </c>
      <c r="P113" s="3">
        <f>SUM(day_cash[[#Headers],[Revenue]]:day_cash[[#This Row],[Revenue]])</f>
        <v>284007.73038009298</v>
      </c>
    </row>
    <row r="114" spans="2:16" x14ac:dyDescent="0.45">
      <c r="B114" s="1">
        <v>46497</v>
      </c>
      <c r="C114" s="4">
        <f>SUMIFS(schedule[Labor CPP], schedule[Start Date],"&lt;="&amp;day_cash[[#This Row],[Date]], schedule[Finish Date],"&gt;="&amp;day_cash[[#This Row],[Date]])</f>
        <v>2844.8046771193194</v>
      </c>
      <c r="D114" s="4">
        <f>SUMIFS(schedule[Material CPP], schedule[Start Date],"&lt;="&amp;day_cash[[#This Row],[Date]]-$D$2, schedule[Finish Date],"&gt;="&amp;day_cash[[#This Row],[Date]]-$D$2)</f>
        <v>4910.8527131782939</v>
      </c>
      <c r="E114" s="4">
        <f>SUMIFS(schedule[Equipment CPP], schedule[Start Date],"&lt;="&amp;day_cash[[#This Row],[Date]]-$E$2, schedule[Finish Date],"&gt;="&amp;day_cash[[#This Row],[Date]]-$E$2)</f>
        <v>971.69811320754718</v>
      </c>
      <c r="F114" s="4">
        <f>SUMIFS(schedule[Sub CPP], schedule[Start Date],"&lt;="&amp;day_cash[[#This Row],[Date]]-$F$2, schedule[Finish Date],"&gt;="&amp;day_cash[[#This Row],[Date]]-$F$2)</f>
        <v>4736.8421052631575</v>
      </c>
      <c r="G114" s="3">
        <f>SUMIFS(schedule[Other CPP], schedule[Start Date],"&lt;="&amp;day_cash[[#This Row],[Date]]-$G$2, schedule[Finish Date],"&gt;="&amp;day_cash[[#This Row],[Date]]-$G$2)</f>
        <v>314.46540880503147</v>
      </c>
      <c r="H114" s="3">
        <f>SUM(day_cash[[#This Row],[Labor Cost]:[Other Cost]])</f>
        <v>13778.66301757335</v>
      </c>
      <c r="I114" s="3">
        <f>SUMIFS(schedule[Revenue per Day], schedule[Start Date],"&lt;="&amp;day_cash[[#This Row],[Date]]-$I$2, schedule[Finish Date],"&gt;="&amp;day_cash[[#This Row],[Date]]-$I$2)</f>
        <v>14201.068210929292</v>
      </c>
      <c r="J114" s="3">
        <f>SUM(day_cash[[#Headers],[Labor Cost]]:day_cash[[#This Row],[Labor Cost]])</f>
        <v>447070.15678979468</v>
      </c>
      <c r="K114" s="3">
        <f>SUM(day_cash[[#Headers],[Material Cost]]:day_cash[[#This Row],[Material Cost]])</f>
        <v>80401.162790697636</v>
      </c>
      <c r="L114" s="3">
        <f>SUM(day_cash[[#Headers],[Equipment Cost]]:day_cash[[#This Row],[Equipment Cost]])</f>
        <v>43320.754716981086</v>
      </c>
      <c r="M114" s="3">
        <f>SUM(day_cash[[#Headers],[Sub Cost]]:day_cash[[#This Row],[Sub Cost]])</f>
        <v>90000.000000000015</v>
      </c>
      <c r="N114" s="3">
        <f>SUM(day_cash[[#Headers],[Other Cost]]:day_cash[[#This Row],[Other Cost]])</f>
        <v>32713.836477987374</v>
      </c>
      <c r="O114" s="3">
        <f>SUM(day_cash[[#This Row],[Cumulative Labor]:[Cumulative Other]])</f>
        <v>693505.91077546077</v>
      </c>
      <c r="P114" s="3">
        <f>SUM(day_cash[[#Headers],[Revenue]]:day_cash[[#This Row],[Revenue]])</f>
        <v>298208.79859102226</v>
      </c>
    </row>
    <row r="115" spans="2:16" x14ac:dyDescent="0.45">
      <c r="B115" s="1">
        <v>46498</v>
      </c>
      <c r="C115" s="4">
        <f>SUMIFS(schedule[Labor CPP], schedule[Start Date],"&lt;="&amp;day_cash[[#This Row],[Date]], schedule[Finish Date],"&gt;="&amp;day_cash[[#This Row],[Date]])</f>
        <v>2844.8046771193194</v>
      </c>
      <c r="D115" s="4">
        <f>SUMIFS(schedule[Material CPP], schedule[Start Date],"&lt;="&amp;day_cash[[#This Row],[Date]]-$D$2, schedule[Finish Date],"&gt;="&amp;day_cash[[#This Row],[Date]]-$D$2)</f>
        <v>4910.8527131782939</v>
      </c>
      <c r="E115" s="4">
        <f>SUMIFS(schedule[Equipment CPP], schedule[Start Date],"&lt;="&amp;day_cash[[#This Row],[Date]]-$E$2, schedule[Finish Date],"&gt;="&amp;day_cash[[#This Row],[Date]]-$E$2)</f>
        <v>971.69811320754718</v>
      </c>
      <c r="F115" s="4">
        <f>SUMIFS(schedule[Sub CPP], schedule[Start Date],"&lt;="&amp;day_cash[[#This Row],[Date]]-$F$2, schedule[Finish Date],"&gt;="&amp;day_cash[[#This Row],[Date]]-$F$2)</f>
        <v>0</v>
      </c>
      <c r="G115" s="3">
        <f>SUMIFS(schedule[Other CPP], schedule[Start Date],"&lt;="&amp;day_cash[[#This Row],[Date]]-$G$2, schedule[Finish Date],"&gt;="&amp;day_cash[[#This Row],[Date]]-$G$2)</f>
        <v>314.46540880503147</v>
      </c>
      <c r="H115" s="3">
        <f>SUM(day_cash[[#This Row],[Labor Cost]:[Other Cost]])</f>
        <v>9041.8209123101933</v>
      </c>
      <c r="I115" s="3">
        <f>SUMIFS(schedule[Revenue per Day], schedule[Start Date],"&lt;="&amp;day_cash[[#This Row],[Date]]-$I$2, schedule[Finish Date],"&gt;="&amp;day_cash[[#This Row],[Date]]-$I$2)</f>
        <v>8327.3840004029771</v>
      </c>
      <c r="J115" s="3">
        <f>SUM(day_cash[[#Headers],[Labor Cost]]:day_cash[[#This Row],[Labor Cost]])</f>
        <v>449914.96146691398</v>
      </c>
      <c r="K115" s="3">
        <f>SUM(day_cash[[#Headers],[Material Cost]]:day_cash[[#This Row],[Material Cost]])</f>
        <v>85312.015503875926</v>
      </c>
      <c r="L115" s="3">
        <f>SUM(day_cash[[#Headers],[Equipment Cost]]:day_cash[[#This Row],[Equipment Cost]])</f>
        <v>44292.452830188631</v>
      </c>
      <c r="M115" s="3">
        <f>SUM(day_cash[[#Headers],[Sub Cost]]:day_cash[[#This Row],[Sub Cost]])</f>
        <v>90000.000000000015</v>
      </c>
      <c r="N115" s="3">
        <f>SUM(day_cash[[#Headers],[Other Cost]]:day_cash[[#This Row],[Other Cost]])</f>
        <v>33028.301886792404</v>
      </c>
      <c r="O115" s="3">
        <f>SUM(day_cash[[#This Row],[Cumulative Labor]:[Cumulative Other]])</f>
        <v>702547.73168777104</v>
      </c>
      <c r="P115" s="3">
        <f>SUM(day_cash[[#Headers],[Revenue]]:day_cash[[#This Row],[Revenue]])</f>
        <v>306536.18259142525</v>
      </c>
    </row>
    <row r="116" spans="2:16" x14ac:dyDescent="0.45">
      <c r="B116" s="1">
        <v>46499</v>
      </c>
      <c r="C116" s="4">
        <f>SUMIFS(schedule[Labor CPP], schedule[Start Date],"&lt;="&amp;day_cash[[#This Row],[Date]], schedule[Finish Date],"&gt;="&amp;day_cash[[#This Row],[Date]])</f>
        <v>2844.8046771193194</v>
      </c>
      <c r="D116" s="4">
        <f>SUMIFS(schedule[Material CPP], schedule[Start Date],"&lt;="&amp;day_cash[[#This Row],[Date]]-$D$2, schedule[Finish Date],"&gt;="&amp;day_cash[[#This Row],[Date]]-$D$2)</f>
        <v>4910.8527131782939</v>
      </c>
      <c r="E116" s="4">
        <f>SUMIFS(schedule[Equipment CPP], schedule[Start Date],"&lt;="&amp;day_cash[[#This Row],[Date]]-$E$2, schedule[Finish Date],"&gt;="&amp;day_cash[[#This Row],[Date]]-$E$2)</f>
        <v>971.69811320754718</v>
      </c>
      <c r="F116" s="4">
        <f>SUMIFS(schedule[Sub CPP], schedule[Start Date],"&lt;="&amp;day_cash[[#This Row],[Date]]-$F$2, schedule[Finish Date],"&gt;="&amp;day_cash[[#This Row],[Date]]-$F$2)</f>
        <v>0</v>
      </c>
      <c r="G116" s="3">
        <f>SUMIFS(schedule[Other CPP], schedule[Start Date],"&lt;="&amp;day_cash[[#This Row],[Date]]-$G$2, schedule[Finish Date],"&gt;="&amp;day_cash[[#This Row],[Date]]-$G$2)</f>
        <v>314.46540880503147</v>
      </c>
      <c r="H116" s="3">
        <f>SUM(day_cash[[#This Row],[Labor Cost]:[Other Cost]])</f>
        <v>9041.8209123101933</v>
      </c>
      <c r="I116" s="3">
        <f>SUMIFS(schedule[Revenue per Day], schedule[Start Date],"&lt;="&amp;day_cash[[#This Row],[Date]]-$I$2, schedule[Finish Date],"&gt;="&amp;day_cash[[#This Row],[Date]]-$I$2)</f>
        <v>8327.3840004029771</v>
      </c>
      <c r="J116" s="3">
        <f>SUM(day_cash[[#Headers],[Labor Cost]]:day_cash[[#This Row],[Labor Cost]])</f>
        <v>452759.76614403329</v>
      </c>
      <c r="K116" s="3">
        <f>SUM(day_cash[[#Headers],[Material Cost]]:day_cash[[#This Row],[Material Cost]])</f>
        <v>90222.868217054216</v>
      </c>
      <c r="L116" s="3">
        <f>SUM(day_cash[[#Headers],[Equipment Cost]]:day_cash[[#This Row],[Equipment Cost]])</f>
        <v>45264.150943396176</v>
      </c>
      <c r="M116" s="3">
        <f>SUM(day_cash[[#Headers],[Sub Cost]]:day_cash[[#This Row],[Sub Cost]])</f>
        <v>90000.000000000015</v>
      </c>
      <c r="N116" s="3">
        <f>SUM(day_cash[[#Headers],[Other Cost]]:day_cash[[#This Row],[Other Cost]])</f>
        <v>33342.767295597434</v>
      </c>
      <c r="O116" s="3">
        <f>SUM(day_cash[[#This Row],[Cumulative Labor]:[Cumulative Other]])</f>
        <v>711589.55260008108</v>
      </c>
      <c r="P116" s="3">
        <f>SUM(day_cash[[#Headers],[Revenue]]:day_cash[[#This Row],[Revenue]])</f>
        <v>314863.56659182825</v>
      </c>
    </row>
    <row r="117" spans="2:16" x14ac:dyDescent="0.45">
      <c r="B117" s="1">
        <v>46500</v>
      </c>
      <c r="C117" s="4">
        <f>SUMIFS(schedule[Labor CPP], schedule[Start Date],"&lt;="&amp;day_cash[[#This Row],[Date]], schedule[Finish Date],"&gt;="&amp;day_cash[[#This Row],[Date]])</f>
        <v>2844.8046771193194</v>
      </c>
      <c r="D117" s="4">
        <f>SUMIFS(schedule[Material CPP], schedule[Start Date],"&lt;="&amp;day_cash[[#This Row],[Date]]-$D$2, schedule[Finish Date],"&gt;="&amp;day_cash[[#This Row],[Date]]-$D$2)</f>
        <v>4910.8527131782939</v>
      </c>
      <c r="E117" s="4">
        <f>SUMIFS(schedule[Equipment CPP], schedule[Start Date],"&lt;="&amp;day_cash[[#This Row],[Date]]-$E$2, schedule[Finish Date],"&gt;="&amp;day_cash[[#This Row],[Date]]-$E$2)</f>
        <v>971.69811320754718</v>
      </c>
      <c r="F117" s="4">
        <f>SUMIFS(schedule[Sub CPP], schedule[Start Date],"&lt;="&amp;day_cash[[#This Row],[Date]]-$F$2, schedule[Finish Date],"&gt;="&amp;day_cash[[#This Row],[Date]]-$F$2)</f>
        <v>0</v>
      </c>
      <c r="G117" s="3">
        <f>SUMIFS(schedule[Other CPP], schedule[Start Date],"&lt;="&amp;day_cash[[#This Row],[Date]]-$G$2, schedule[Finish Date],"&gt;="&amp;day_cash[[#This Row],[Date]]-$G$2)</f>
        <v>314.46540880503147</v>
      </c>
      <c r="H117" s="3">
        <f>SUM(day_cash[[#This Row],[Labor Cost]:[Other Cost]])</f>
        <v>9041.8209123101933</v>
      </c>
      <c r="I117" s="3">
        <f>SUMIFS(schedule[Revenue per Day], schedule[Start Date],"&lt;="&amp;day_cash[[#This Row],[Date]]-$I$2, schedule[Finish Date],"&gt;="&amp;day_cash[[#This Row],[Date]]-$I$2)</f>
        <v>8327.3840004029771</v>
      </c>
      <c r="J117" s="3">
        <f>SUM(day_cash[[#Headers],[Labor Cost]]:day_cash[[#This Row],[Labor Cost]])</f>
        <v>455604.57082115259</v>
      </c>
      <c r="K117" s="3">
        <f>SUM(day_cash[[#Headers],[Material Cost]]:day_cash[[#This Row],[Material Cost]])</f>
        <v>95133.720930232506</v>
      </c>
      <c r="L117" s="3">
        <f>SUM(day_cash[[#Headers],[Equipment Cost]]:day_cash[[#This Row],[Equipment Cost]])</f>
        <v>46235.849056603722</v>
      </c>
      <c r="M117" s="3">
        <f>SUM(day_cash[[#Headers],[Sub Cost]]:day_cash[[#This Row],[Sub Cost]])</f>
        <v>90000.000000000015</v>
      </c>
      <c r="N117" s="3">
        <f>SUM(day_cash[[#Headers],[Other Cost]]:day_cash[[#This Row],[Other Cost]])</f>
        <v>33657.232704402464</v>
      </c>
      <c r="O117" s="3">
        <f>SUM(day_cash[[#This Row],[Cumulative Labor]:[Cumulative Other]])</f>
        <v>720631.37351239123</v>
      </c>
      <c r="P117" s="3">
        <f>SUM(day_cash[[#Headers],[Revenue]]:day_cash[[#This Row],[Revenue]])</f>
        <v>323190.95059223124</v>
      </c>
    </row>
    <row r="118" spans="2:16" x14ac:dyDescent="0.45">
      <c r="B118" s="1">
        <v>46501</v>
      </c>
      <c r="C118" s="4">
        <f>SUMIFS(schedule[Labor CPP], schedule[Start Date],"&lt;="&amp;day_cash[[#This Row],[Date]], schedule[Finish Date],"&gt;="&amp;day_cash[[#This Row],[Date]])</f>
        <v>2844.8046771193194</v>
      </c>
      <c r="D118" s="4">
        <f>SUMIFS(schedule[Material CPP], schedule[Start Date],"&lt;="&amp;day_cash[[#This Row],[Date]]-$D$2, schedule[Finish Date],"&gt;="&amp;day_cash[[#This Row],[Date]]-$D$2)</f>
        <v>4910.8527131782939</v>
      </c>
      <c r="E118" s="4">
        <f>SUMIFS(schedule[Equipment CPP], schedule[Start Date],"&lt;="&amp;day_cash[[#This Row],[Date]]-$E$2, schedule[Finish Date],"&gt;="&amp;day_cash[[#This Row],[Date]]-$E$2)</f>
        <v>971.69811320754718</v>
      </c>
      <c r="F118" s="4">
        <f>SUMIFS(schedule[Sub CPP], schedule[Start Date],"&lt;="&amp;day_cash[[#This Row],[Date]]-$F$2, schedule[Finish Date],"&gt;="&amp;day_cash[[#This Row],[Date]]-$F$2)</f>
        <v>0</v>
      </c>
      <c r="G118" s="3">
        <f>SUMIFS(schedule[Other CPP], schedule[Start Date],"&lt;="&amp;day_cash[[#This Row],[Date]]-$G$2, schedule[Finish Date],"&gt;="&amp;day_cash[[#This Row],[Date]]-$G$2)</f>
        <v>314.46540880503147</v>
      </c>
      <c r="H118" s="3">
        <f>SUM(day_cash[[#This Row],[Labor Cost]:[Other Cost]])</f>
        <v>9041.8209123101933</v>
      </c>
      <c r="I118" s="3">
        <f>SUMIFS(schedule[Revenue per Day], schedule[Start Date],"&lt;="&amp;day_cash[[#This Row],[Date]]-$I$2, schedule[Finish Date],"&gt;="&amp;day_cash[[#This Row],[Date]]-$I$2)</f>
        <v>8327.3840004029771</v>
      </c>
      <c r="J118" s="3">
        <f>SUM(day_cash[[#Headers],[Labor Cost]]:day_cash[[#This Row],[Labor Cost]])</f>
        <v>458449.3754982719</v>
      </c>
      <c r="K118" s="3">
        <f>SUM(day_cash[[#Headers],[Material Cost]]:day_cash[[#This Row],[Material Cost]])</f>
        <v>100044.5736434108</v>
      </c>
      <c r="L118" s="3">
        <f>SUM(day_cash[[#Headers],[Equipment Cost]]:day_cash[[#This Row],[Equipment Cost]])</f>
        <v>47207.547169811267</v>
      </c>
      <c r="M118" s="3">
        <f>SUM(day_cash[[#Headers],[Sub Cost]]:day_cash[[#This Row],[Sub Cost]])</f>
        <v>90000.000000000015</v>
      </c>
      <c r="N118" s="3">
        <f>SUM(day_cash[[#Headers],[Other Cost]]:day_cash[[#This Row],[Other Cost]])</f>
        <v>33971.698113207494</v>
      </c>
      <c r="O118" s="3">
        <f>SUM(day_cash[[#This Row],[Cumulative Labor]:[Cumulative Other]])</f>
        <v>729673.19442470139</v>
      </c>
      <c r="P118" s="3">
        <f>SUM(day_cash[[#Headers],[Revenue]]:day_cash[[#This Row],[Revenue]])</f>
        <v>331518.33459263423</v>
      </c>
    </row>
    <row r="119" spans="2:16" x14ac:dyDescent="0.45">
      <c r="B119" s="1">
        <v>46502</v>
      </c>
      <c r="C119" s="4">
        <f>SUMIFS(schedule[Labor CPP], schedule[Start Date],"&lt;="&amp;day_cash[[#This Row],[Date]], schedule[Finish Date],"&gt;="&amp;day_cash[[#This Row],[Date]])</f>
        <v>2844.8046771193194</v>
      </c>
      <c r="D119" s="4">
        <f>SUMIFS(schedule[Material CPP], schedule[Start Date],"&lt;="&amp;day_cash[[#This Row],[Date]]-$D$2, schedule[Finish Date],"&gt;="&amp;day_cash[[#This Row],[Date]]-$D$2)</f>
        <v>4910.8527131782939</v>
      </c>
      <c r="E119" s="4">
        <f>SUMIFS(schedule[Equipment CPP], schedule[Start Date],"&lt;="&amp;day_cash[[#This Row],[Date]]-$E$2, schedule[Finish Date],"&gt;="&amp;day_cash[[#This Row],[Date]]-$E$2)</f>
        <v>971.69811320754718</v>
      </c>
      <c r="F119" s="4">
        <f>SUMIFS(schedule[Sub CPP], schedule[Start Date],"&lt;="&amp;day_cash[[#This Row],[Date]]-$F$2, schedule[Finish Date],"&gt;="&amp;day_cash[[#This Row],[Date]]-$F$2)</f>
        <v>0</v>
      </c>
      <c r="G119" s="3">
        <f>SUMIFS(schedule[Other CPP], schedule[Start Date],"&lt;="&amp;day_cash[[#This Row],[Date]]-$G$2, schedule[Finish Date],"&gt;="&amp;day_cash[[#This Row],[Date]]-$G$2)</f>
        <v>314.46540880503147</v>
      </c>
      <c r="H119" s="3">
        <f>SUM(day_cash[[#This Row],[Labor Cost]:[Other Cost]])</f>
        <v>9041.8209123101933</v>
      </c>
      <c r="I119" s="3">
        <f>SUMIFS(schedule[Revenue per Day], schedule[Start Date],"&lt;="&amp;day_cash[[#This Row],[Date]]-$I$2, schedule[Finish Date],"&gt;="&amp;day_cash[[#This Row],[Date]]-$I$2)</f>
        <v>8327.3840004029771</v>
      </c>
      <c r="J119" s="3">
        <f>SUM(day_cash[[#Headers],[Labor Cost]]:day_cash[[#This Row],[Labor Cost]])</f>
        <v>461294.1801753912</v>
      </c>
      <c r="K119" s="3">
        <f>SUM(day_cash[[#Headers],[Material Cost]]:day_cash[[#This Row],[Material Cost]])</f>
        <v>104955.42635658909</v>
      </c>
      <c r="L119" s="3">
        <f>SUM(day_cash[[#Headers],[Equipment Cost]]:day_cash[[#This Row],[Equipment Cost]])</f>
        <v>48179.245283018812</v>
      </c>
      <c r="M119" s="3">
        <f>SUM(day_cash[[#Headers],[Sub Cost]]:day_cash[[#This Row],[Sub Cost]])</f>
        <v>90000.000000000015</v>
      </c>
      <c r="N119" s="3">
        <f>SUM(day_cash[[#Headers],[Other Cost]]:day_cash[[#This Row],[Other Cost]])</f>
        <v>34286.163522012524</v>
      </c>
      <c r="O119" s="3">
        <f>SUM(day_cash[[#This Row],[Cumulative Labor]:[Cumulative Other]])</f>
        <v>738715.01533701166</v>
      </c>
      <c r="P119" s="3">
        <f>SUM(day_cash[[#Headers],[Revenue]]:day_cash[[#This Row],[Revenue]])</f>
        <v>339845.71859303722</v>
      </c>
    </row>
    <row r="120" spans="2:16" x14ac:dyDescent="0.45">
      <c r="B120" s="1">
        <v>46503</v>
      </c>
      <c r="C120" s="4">
        <f>SUMIFS(schedule[Labor CPP], schedule[Start Date],"&lt;="&amp;day_cash[[#This Row],[Date]], schedule[Finish Date],"&gt;="&amp;day_cash[[#This Row],[Date]])</f>
        <v>2844.8046771193194</v>
      </c>
      <c r="D120" s="4">
        <f>SUMIFS(schedule[Material CPP], schedule[Start Date],"&lt;="&amp;day_cash[[#This Row],[Date]]-$D$2, schedule[Finish Date],"&gt;="&amp;day_cash[[#This Row],[Date]]-$D$2)</f>
        <v>4910.8527131782939</v>
      </c>
      <c r="E120" s="4">
        <f>SUMIFS(schedule[Equipment CPP], schedule[Start Date],"&lt;="&amp;day_cash[[#This Row],[Date]]-$E$2, schedule[Finish Date],"&gt;="&amp;day_cash[[#This Row],[Date]]-$E$2)</f>
        <v>971.69811320754718</v>
      </c>
      <c r="F120" s="4">
        <f>SUMIFS(schedule[Sub CPP], schedule[Start Date],"&lt;="&amp;day_cash[[#This Row],[Date]]-$F$2, schedule[Finish Date],"&gt;="&amp;day_cash[[#This Row],[Date]]-$F$2)</f>
        <v>0</v>
      </c>
      <c r="G120" s="3">
        <f>SUMIFS(schedule[Other CPP], schedule[Start Date],"&lt;="&amp;day_cash[[#This Row],[Date]]-$G$2, schedule[Finish Date],"&gt;="&amp;day_cash[[#This Row],[Date]]-$G$2)</f>
        <v>314.46540880503147</v>
      </c>
      <c r="H120" s="3">
        <f>SUM(day_cash[[#This Row],[Labor Cost]:[Other Cost]])</f>
        <v>9041.8209123101933</v>
      </c>
      <c r="I120" s="3">
        <f>SUMIFS(schedule[Revenue per Day], schedule[Start Date],"&lt;="&amp;day_cash[[#This Row],[Date]]-$I$2, schedule[Finish Date],"&gt;="&amp;day_cash[[#This Row],[Date]]-$I$2)</f>
        <v>8327.3840004029771</v>
      </c>
      <c r="J120" s="3">
        <f>SUM(day_cash[[#Headers],[Labor Cost]]:day_cash[[#This Row],[Labor Cost]])</f>
        <v>464138.9848525105</v>
      </c>
      <c r="K120" s="3">
        <f>SUM(day_cash[[#Headers],[Material Cost]]:day_cash[[#This Row],[Material Cost]])</f>
        <v>109866.27906976738</v>
      </c>
      <c r="L120" s="3">
        <f>SUM(day_cash[[#Headers],[Equipment Cost]]:day_cash[[#This Row],[Equipment Cost]])</f>
        <v>49150.943396226357</v>
      </c>
      <c r="M120" s="3">
        <f>SUM(day_cash[[#Headers],[Sub Cost]]:day_cash[[#This Row],[Sub Cost]])</f>
        <v>90000.000000000015</v>
      </c>
      <c r="N120" s="3">
        <f>SUM(day_cash[[#Headers],[Other Cost]]:day_cash[[#This Row],[Other Cost]])</f>
        <v>34600.628930817555</v>
      </c>
      <c r="O120" s="3">
        <f>SUM(day_cash[[#This Row],[Cumulative Labor]:[Cumulative Other]])</f>
        <v>747756.83624932182</v>
      </c>
      <c r="P120" s="3">
        <f>SUM(day_cash[[#Headers],[Revenue]]:day_cash[[#This Row],[Revenue]])</f>
        <v>348173.10259344021</v>
      </c>
    </row>
    <row r="121" spans="2:16" x14ac:dyDescent="0.45">
      <c r="B121" s="1">
        <v>46504</v>
      </c>
      <c r="C121" s="4">
        <f>SUMIFS(schedule[Labor CPP], schedule[Start Date],"&lt;="&amp;day_cash[[#This Row],[Date]], schedule[Finish Date],"&gt;="&amp;day_cash[[#This Row],[Date]])</f>
        <v>2844.8046771193194</v>
      </c>
      <c r="D121" s="4">
        <f>SUMIFS(schedule[Material CPP], schedule[Start Date],"&lt;="&amp;day_cash[[#This Row],[Date]]-$D$2, schedule[Finish Date],"&gt;="&amp;day_cash[[#This Row],[Date]]-$D$2)</f>
        <v>4910.8527131782939</v>
      </c>
      <c r="E121" s="4">
        <f>SUMIFS(schedule[Equipment CPP], schedule[Start Date],"&lt;="&amp;day_cash[[#This Row],[Date]]-$E$2, schedule[Finish Date],"&gt;="&amp;day_cash[[#This Row],[Date]]-$E$2)</f>
        <v>971.69811320754718</v>
      </c>
      <c r="F121" s="4">
        <f>SUMIFS(schedule[Sub CPP], schedule[Start Date],"&lt;="&amp;day_cash[[#This Row],[Date]]-$F$2, schedule[Finish Date],"&gt;="&amp;day_cash[[#This Row],[Date]]-$F$2)</f>
        <v>0</v>
      </c>
      <c r="G121" s="3">
        <f>SUMIFS(schedule[Other CPP], schedule[Start Date],"&lt;="&amp;day_cash[[#This Row],[Date]]-$G$2, schedule[Finish Date],"&gt;="&amp;day_cash[[#This Row],[Date]]-$G$2)</f>
        <v>314.46540880503147</v>
      </c>
      <c r="H121" s="3">
        <f>SUM(day_cash[[#This Row],[Labor Cost]:[Other Cost]])</f>
        <v>9041.8209123101933</v>
      </c>
      <c r="I121" s="3">
        <f>SUMIFS(schedule[Revenue per Day], schedule[Start Date],"&lt;="&amp;day_cash[[#This Row],[Date]]-$I$2, schedule[Finish Date],"&gt;="&amp;day_cash[[#This Row],[Date]]-$I$2)</f>
        <v>8327.3840004029771</v>
      </c>
      <c r="J121" s="3">
        <f>SUM(day_cash[[#Headers],[Labor Cost]]:day_cash[[#This Row],[Labor Cost]])</f>
        <v>466983.78952962981</v>
      </c>
      <c r="K121" s="3">
        <f>SUM(day_cash[[#Headers],[Material Cost]]:day_cash[[#This Row],[Material Cost]])</f>
        <v>114777.13178294567</v>
      </c>
      <c r="L121" s="3">
        <f>SUM(day_cash[[#Headers],[Equipment Cost]]:day_cash[[#This Row],[Equipment Cost]])</f>
        <v>50122.641509433903</v>
      </c>
      <c r="M121" s="3">
        <f>SUM(day_cash[[#Headers],[Sub Cost]]:day_cash[[#This Row],[Sub Cost]])</f>
        <v>90000.000000000015</v>
      </c>
      <c r="N121" s="3">
        <f>SUM(day_cash[[#Headers],[Other Cost]]:day_cash[[#This Row],[Other Cost]])</f>
        <v>34915.094339622585</v>
      </c>
      <c r="O121" s="3">
        <f>SUM(day_cash[[#This Row],[Cumulative Labor]:[Cumulative Other]])</f>
        <v>756798.65716163185</v>
      </c>
      <c r="P121" s="3">
        <f>SUM(day_cash[[#Headers],[Revenue]]:day_cash[[#This Row],[Revenue]])</f>
        <v>356500.4865938432</v>
      </c>
    </row>
    <row r="122" spans="2:16" x14ac:dyDescent="0.45">
      <c r="B122" s="1">
        <v>46505</v>
      </c>
      <c r="C122" s="4">
        <f>SUMIFS(schedule[Labor CPP], schedule[Start Date],"&lt;="&amp;day_cash[[#This Row],[Date]], schedule[Finish Date],"&gt;="&amp;day_cash[[#This Row],[Date]])</f>
        <v>2844.8046771193194</v>
      </c>
      <c r="D122" s="4">
        <f>SUMIFS(schedule[Material CPP], schedule[Start Date],"&lt;="&amp;day_cash[[#This Row],[Date]]-$D$2, schedule[Finish Date],"&gt;="&amp;day_cash[[#This Row],[Date]]-$D$2)</f>
        <v>4910.8527131782939</v>
      </c>
      <c r="E122" s="4">
        <f>SUMIFS(schedule[Equipment CPP], schedule[Start Date],"&lt;="&amp;day_cash[[#This Row],[Date]]-$E$2, schedule[Finish Date],"&gt;="&amp;day_cash[[#This Row],[Date]]-$E$2)</f>
        <v>971.69811320754718</v>
      </c>
      <c r="F122" s="4">
        <f>SUMIFS(schedule[Sub CPP], schedule[Start Date],"&lt;="&amp;day_cash[[#This Row],[Date]]-$F$2, schedule[Finish Date],"&gt;="&amp;day_cash[[#This Row],[Date]]-$F$2)</f>
        <v>0</v>
      </c>
      <c r="G122" s="3">
        <f>SUMIFS(schedule[Other CPP], schedule[Start Date],"&lt;="&amp;day_cash[[#This Row],[Date]]-$G$2, schedule[Finish Date],"&gt;="&amp;day_cash[[#This Row],[Date]]-$G$2)</f>
        <v>314.46540880503147</v>
      </c>
      <c r="H122" s="3">
        <f>SUM(day_cash[[#This Row],[Labor Cost]:[Other Cost]])</f>
        <v>9041.8209123101933</v>
      </c>
      <c r="I122" s="3">
        <f>SUMIFS(schedule[Revenue per Day], schedule[Start Date],"&lt;="&amp;day_cash[[#This Row],[Date]]-$I$2, schedule[Finish Date],"&gt;="&amp;day_cash[[#This Row],[Date]]-$I$2)</f>
        <v>6648.6883482290632</v>
      </c>
      <c r="J122" s="3">
        <f>SUM(day_cash[[#Headers],[Labor Cost]]:day_cash[[#This Row],[Labor Cost]])</f>
        <v>469828.59420674911</v>
      </c>
      <c r="K122" s="3">
        <f>SUM(day_cash[[#Headers],[Material Cost]]:day_cash[[#This Row],[Material Cost]])</f>
        <v>119687.98449612396</v>
      </c>
      <c r="L122" s="3">
        <f>SUM(day_cash[[#Headers],[Equipment Cost]]:day_cash[[#This Row],[Equipment Cost]])</f>
        <v>51094.339622641448</v>
      </c>
      <c r="M122" s="3">
        <f>SUM(day_cash[[#Headers],[Sub Cost]]:day_cash[[#This Row],[Sub Cost]])</f>
        <v>90000.000000000015</v>
      </c>
      <c r="N122" s="3">
        <f>SUM(day_cash[[#Headers],[Other Cost]]:day_cash[[#This Row],[Other Cost]])</f>
        <v>35229.559748427615</v>
      </c>
      <c r="O122" s="3">
        <f>SUM(day_cash[[#This Row],[Cumulative Labor]:[Cumulative Other]])</f>
        <v>765840.47807394213</v>
      </c>
      <c r="P122" s="3">
        <f>SUM(day_cash[[#Headers],[Revenue]]:day_cash[[#This Row],[Revenue]])</f>
        <v>363149.17494207225</v>
      </c>
    </row>
    <row r="123" spans="2:16" x14ac:dyDescent="0.45">
      <c r="B123" s="1">
        <v>46506</v>
      </c>
      <c r="C123" s="4">
        <f>SUMIFS(schedule[Labor CPP], schedule[Start Date],"&lt;="&amp;day_cash[[#This Row],[Date]], schedule[Finish Date],"&gt;="&amp;day_cash[[#This Row],[Date]])</f>
        <v>2844.8046771193194</v>
      </c>
      <c r="D123" s="4">
        <f>SUMIFS(schedule[Material CPP], schedule[Start Date],"&lt;="&amp;day_cash[[#This Row],[Date]]-$D$2, schedule[Finish Date],"&gt;="&amp;day_cash[[#This Row],[Date]]-$D$2)</f>
        <v>4910.8527131782939</v>
      </c>
      <c r="E123" s="4">
        <f>SUMIFS(schedule[Equipment CPP], schedule[Start Date],"&lt;="&amp;day_cash[[#This Row],[Date]]-$E$2, schedule[Finish Date],"&gt;="&amp;day_cash[[#This Row],[Date]]-$E$2)</f>
        <v>971.69811320754718</v>
      </c>
      <c r="F123" s="4">
        <f>SUMIFS(schedule[Sub CPP], schedule[Start Date],"&lt;="&amp;day_cash[[#This Row],[Date]]-$F$2, schedule[Finish Date],"&gt;="&amp;day_cash[[#This Row],[Date]]-$F$2)</f>
        <v>0</v>
      </c>
      <c r="G123" s="3">
        <f>SUMIFS(schedule[Other CPP], schedule[Start Date],"&lt;="&amp;day_cash[[#This Row],[Date]]-$G$2, schedule[Finish Date],"&gt;="&amp;day_cash[[#This Row],[Date]]-$G$2)</f>
        <v>314.46540880503147</v>
      </c>
      <c r="H123" s="3">
        <f>SUM(day_cash[[#This Row],[Labor Cost]:[Other Cost]])</f>
        <v>9041.8209123101933</v>
      </c>
      <c r="I123" s="3">
        <f>SUMIFS(schedule[Revenue per Day], schedule[Start Date],"&lt;="&amp;day_cash[[#This Row],[Date]]-$I$2, schedule[Finish Date],"&gt;="&amp;day_cash[[#This Row],[Date]]-$I$2)</f>
        <v>6648.6883482290632</v>
      </c>
      <c r="J123" s="3">
        <f>SUM(day_cash[[#Headers],[Labor Cost]]:day_cash[[#This Row],[Labor Cost]])</f>
        <v>472673.39888386842</v>
      </c>
      <c r="K123" s="3">
        <f>SUM(day_cash[[#Headers],[Material Cost]]:day_cash[[#This Row],[Material Cost]])</f>
        <v>124598.83720930225</v>
      </c>
      <c r="L123" s="3">
        <f>SUM(day_cash[[#Headers],[Equipment Cost]]:day_cash[[#This Row],[Equipment Cost]])</f>
        <v>52066.037735848993</v>
      </c>
      <c r="M123" s="3">
        <f>SUM(day_cash[[#Headers],[Sub Cost]]:day_cash[[#This Row],[Sub Cost]])</f>
        <v>90000.000000000015</v>
      </c>
      <c r="N123" s="3">
        <f>SUM(day_cash[[#Headers],[Other Cost]]:day_cash[[#This Row],[Other Cost]])</f>
        <v>35544.025157232645</v>
      </c>
      <c r="O123" s="3">
        <f>SUM(day_cash[[#This Row],[Cumulative Labor]:[Cumulative Other]])</f>
        <v>774882.2989862524</v>
      </c>
      <c r="P123" s="3">
        <f>SUM(day_cash[[#Headers],[Revenue]]:day_cash[[#This Row],[Revenue]])</f>
        <v>369797.86329030129</v>
      </c>
    </row>
    <row r="124" spans="2:16" x14ac:dyDescent="0.45">
      <c r="B124" s="1">
        <v>46507</v>
      </c>
      <c r="C124" s="4">
        <f>SUMIFS(schedule[Labor CPP], schedule[Start Date],"&lt;="&amp;day_cash[[#This Row],[Date]], schedule[Finish Date],"&gt;="&amp;day_cash[[#This Row],[Date]])</f>
        <v>2844.8046771193194</v>
      </c>
      <c r="D124" s="4">
        <f>SUMIFS(schedule[Material CPP], schedule[Start Date],"&lt;="&amp;day_cash[[#This Row],[Date]]-$D$2, schedule[Finish Date],"&gt;="&amp;day_cash[[#This Row],[Date]]-$D$2)</f>
        <v>4910.8527131782939</v>
      </c>
      <c r="E124" s="4">
        <f>SUMIFS(schedule[Equipment CPP], schedule[Start Date],"&lt;="&amp;day_cash[[#This Row],[Date]]-$E$2, schedule[Finish Date],"&gt;="&amp;day_cash[[#This Row],[Date]]-$E$2)</f>
        <v>971.69811320754718</v>
      </c>
      <c r="F124" s="4">
        <f>SUMIFS(schedule[Sub CPP], schedule[Start Date],"&lt;="&amp;day_cash[[#This Row],[Date]]-$F$2, schedule[Finish Date],"&gt;="&amp;day_cash[[#This Row],[Date]]-$F$2)</f>
        <v>0</v>
      </c>
      <c r="G124" s="3">
        <f>SUMIFS(schedule[Other CPP], schedule[Start Date],"&lt;="&amp;day_cash[[#This Row],[Date]]-$G$2, schedule[Finish Date],"&gt;="&amp;day_cash[[#This Row],[Date]]-$G$2)</f>
        <v>314.46540880503147</v>
      </c>
      <c r="H124" s="3">
        <f>SUM(day_cash[[#This Row],[Labor Cost]:[Other Cost]])</f>
        <v>9041.8209123101933</v>
      </c>
      <c r="I124" s="3">
        <f>SUMIFS(schedule[Revenue per Day], schedule[Start Date],"&lt;="&amp;day_cash[[#This Row],[Date]]-$I$2, schedule[Finish Date],"&gt;="&amp;day_cash[[#This Row],[Date]]-$I$2)</f>
        <v>6648.6883482290632</v>
      </c>
      <c r="J124" s="3">
        <f>SUM(day_cash[[#Headers],[Labor Cost]]:day_cash[[#This Row],[Labor Cost]])</f>
        <v>475518.20356098772</v>
      </c>
      <c r="K124" s="3">
        <f>SUM(day_cash[[#Headers],[Material Cost]]:day_cash[[#This Row],[Material Cost]])</f>
        <v>129509.68992248054</v>
      </c>
      <c r="L124" s="3">
        <f>SUM(day_cash[[#Headers],[Equipment Cost]]:day_cash[[#This Row],[Equipment Cost]])</f>
        <v>53037.735849056538</v>
      </c>
      <c r="M124" s="3">
        <f>SUM(day_cash[[#Headers],[Sub Cost]]:day_cash[[#This Row],[Sub Cost]])</f>
        <v>90000.000000000015</v>
      </c>
      <c r="N124" s="3">
        <f>SUM(day_cash[[#Headers],[Other Cost]]:day_cash[[#This Row],[Other Cost]])</f>
        <v>35858.490566037675</v>
      </c>
      <c r="O124" s="3">
        <f>SUM(day_cash[[#This Row],[Cumulative Labor]:[Cumulative Other]])</f>
        <v>783924.11989856244</v>
      </c>
      <c r="P124" s="3">
        <f>SUM(day_cash[[#Headers],[Revenue]]:day_cash[[#This Row],[Revenue]])</f>
        <v>376446.55163853033</v>
      </c>
    </row>
    <row r="125" spans="2:16" x14ac:dyDescent="0.45">
      <c r="B125" s="1">
        <v>46508</v>
      </c>
      <c r="C125" s="4">
        <f>SUMIFS(schedule[Labor CPP], schedule[Start Date],"&lt;="&amp;day_cash[[#This Row],[Date]], schedule[Finish Date],"&gt;="&amp;day_cash[[#This Row],[Date]])</f>
        <v>2844.8046771193194</v>
      </c>
      <c r="D125" s="4">
        <f>SUMIFS(schedule[Material CPP], schedule[Start Date],"&lt;="&amp;day_cash[[#This Row],[Date]]-$D$2, schedule[Finish Date],"&gt;="&amp;day_cash[[#This Row],[Date]]-$D$2)</f>
        <v>4910.8527131782939</v>
      </c>
      <c r="E125" s="4">
        <f>SUMIFS(schedule[Equipment CPP], schedule[Start Date],"&lt;="&amp;day_cash[[#This Row],[Date]]-$E$2, schedule[Finish Date],"&gt;="&amp;day_cash[[#This Row],[Date]]-$E$2)</f>
        <v>971.69811320754718</v>
      </c>
      <c r="F125" s="4">
        <f>SUMIFS(schedule[Sub CPP], schedule[Start Date],"&lt;="&amp;day_cash[[#This Row],[Date]]-$F$2, schedule[Finish Date],"&gt;="&amp;day_cash[[#This Row],[Date]]-$F$2)</f>
        <v>0</v>
      </c>
      <c r="G125" s="3">
        <f>SUMIFS(schedule[Other CPP], schedule[Start Date],"&lt;="&amp;day_cash[[#This Row],[Date]]-$G$2, schedule[Finish Date],"&gt;="&amp;day_cash[[#This Row],[Date]]-$G$2)</f>
        <v>314.46540880503147</v>
      </c>
      <c r="H125" s="3">
        <f>SUM(day_cash[[#This Row],[Labor Cost]:[Other Cost]])</f>
        <v>9041.8209123101933</v>
      </c>
      <c r="I125" s="3">
        <f>SUMIFS(schedule[Revenue per Day], schedule[Start Date],"&lt;="&amp;day_cash[[#This Row],[Date]]-$I$2, schedule[Finish Date],"&gt;="&amp;day_cash[[#This Row],[Date]]-$I$2)</f>
        <v>6648.6883482290632</v>
      </c>
      <c r="J125" s="3">
        <f>SUM(day_cash[[#Headers],[Labor Cost]]:day_cash[[#This Row],[Labor Cost]])</f>
        <v>478363.00823810702</v>
      </c>
      <c r="K125" s="3">
        <f>SUM(day_cash[[#Headers],[Material Cost]]:day_cash[[#This Row],[Material Cost]])</f>
        <v>134420.54263565884</v>
      </c>
      <c r="L125" s="3">
        <f>SUM(day_cash[[#Headers],[Equipment Cost]]:day_cash[[#This Row],[Equipment Cost]])</f>
        <v>54009.433962264084</v>
      </c>
      <c r="M125" s="3">
        <f>SUM(day_cash[[#Headers],[Sub Cost]]:day_cash[[#This Row],[Sub Cost]])</f>
        <v>90000.000000000015</v>
      </c>
      <c r="N125" s="3">
        <f>SUM(day_cash[[#Headers],[Other Cost]]:day_cash[[#This Row],[Other Cost]])</f>
        <v>36172.955974842705</v>
      </c>
      <c r="O125" s="3">
        <f>SUM(day_cash[[#This Row],[Cumulative Labor]:[Cumulative Other]])</f>
        <v>792965.94081087259</v>
      </c>
      <c r="P125" s="3">
        <f>SUM(day_cash[[#Headers],[Revenue]]:day_cash[[#This Row],[Revenue]])</f>
        <v>383095.23998675938</v>
      </c>
    </row>
    <row r="126" spans="2:16" x14ac:dyDescent="0.45">
      <c r="B126" s="1">
        <v>46509</v>
      </c>
      <c r="C126" s="4">
        <f>SUMIFS(schedule[Labor CPP], schedule[Start Date],"&lt;="&amp;day_cash[[#This Row],[Date]], schedule[Finish Date],"&gt;="&amp;day_cash[[#This Row],[Date]])</f>
        <v>2844.8046771193194</v>
      </c>
      <c r="D126" s="4">
        <f>SUMIFS(schedule[Material CPP], schedule[Start Date],"&lt;="&amp;day_cash[[#This Row],[Date]]-$D$2, schedule[Finish Date],"&gt;="&amp;day_cash[[#This Row],[Date]]-$D$2)</f>
        <v>6284.0921497980125</v>
      </c>
      <c r="E126" s="4">
        <f>SUMIFS(schedule[Equipment CPP], schedule[Start Date],"&lt;="&amp;day_cash[[#This Row],[Date]]-$E$2, schedule[Finish Date],"&gt;="&amp;day_cash[[#This Row],[Date]]-$E$2)</f>
        <v>971.69811320754718</v>
      </c>
      <c r="F126" s="4">
        <f>SUMIFS(schedule[Sub CPP], schedule[Start Date],"&lt;="&amp;day_cash[[#This Row],[Date]]-$F$2, schedule[Finish Date],"&gt;="&amp;day_cash[[#This Row],[Date]]-$F$2)</f>
        <v>0</v>
      </c>
      <c r="G126" s="3">
        <f>SUMIFS(schedule[Other CPP], schedule[Start Date],"&lt;="&amp;day_cash[[#This Row],[Date]]-$G$2, schedule[Finish Date],"&gt;="&amp;day_cash[[#This Row],[Date]]-$G$2)</f>
        <v>314.46540880503147</v>
      </c>
      <c r="H126" s="3">
        <f>SUM(day_cash[[#This Row],[Labor Cost]:[Other Cost]])</f>
        <v>10415.06034892991</v>
      </c>
      <c r="I126" s="3">
        <f>SUMIFS(schedule[Revenue per Day], schedule[Start Date],"&lt;="&amp;day_cash[[#This Row],[Date]]-$I$2, schedule[Finish Date],"&gt;="&amp;day_cash[[#This Row],[Date]]-$I$2)</f>
        <v>6648.6883482290632</v>
      </c>
      <c r="J126" s="3">
        <f>SUM(day_cash[[#Headers],[Labor Cost]]:day_cash[[#This Row],[Labor Cost]])</f>
        <v>481207.81291522633</v>
      </c>
      <c r="K126" s="3">
        <f>SUM(day_cash[[#Headers],[Material Cost]]:day_cash[[#This Row],[Material Cost]])</f>
        <v>140704.63478545684</v>
      </c>
      <c r="L126" s="3">
        <f>SUM(day_cash[[#Headers],[Equipment Cost]]:day_cash[[#This Row],[Equipment Cost]])</f>
        <v>54981.132075471629</v>
      </c>
      <c r="M126" s="3">
        <f>SUM(day_cash[[#Headers],[Sub Cost]]:day_cash[[#This Row],[Sub Cost]])</f>
        <v>90000.000000000015</v>
      </c>
      <c r="N126" s="3">
        <f>SUM(day_cash[[#Headers],[Other Cost]]:day_cash[[#This Row],[Other Cost]])</f>
        <v>36487.421383647736</v>
      </c>
      <c r="O126" s="3">
        <f>SUM(day_cash[[#This Row],[Cumulative Labor]:[Cumulative Other]])</f>
        <v>803381.00115980254</v>
      </c>
      <c r="P126" s="3">
        <f>SUM(day_cash[[#Headers],[Revenue]]:day_cash[[#This Row],[Revenue]])</f>
        <v>389743.92833498842</v>
      </c>
    </row>
    <row r="127" spans="2:16" x14ac:dyDescent="0.45">
      <c r="B127" s="1">
        <v>46510</v>
      </c>
      <c r="C127" s="4">
        <f>SUMIFS(schedule[Labor CPP], schedule[Start Date],"&lt;="&amp;day_cash[[#This Row],[Date]], schedule[Finish Date],"&gt;="&amp;day_cash[[#This Row],[Date]])</f>
        <v>2844.8046771193194</v>
      </c>
      <c r="D127" s="4">
        <f>SUMIFS(schedule[Material CPP], schedule[Start Date],"&lt;="&amp;day_cash[[#This Row],[Date]]-$D$2, schedule[Finish Date],"&gt;="&amp;day_cash[[#This Row],[Date]]-$D$2)</f>
        <v>3117.4254831313465</v>
      </c>
      <c r="E127" s="4">
        <f>SUMIFS(schedule[Equipment CPP], schedule[Start Date],"&lt;="&amp;day_cash[[#This Row],[Date]]-$E$2, schedule[Finish Date],"&gt;="&amp;day_cash[[#This Row],[Date]]-$E$2)</f>
        <v>471.69811320754718</v>
      </c>
      <c r="F127" s="4">
        <f>SUMIFS(schedule[Sub CPP], schedule[Start Date],"&lt;="&amp;day_cash[[#This Row],[Date]]-$F$2, schedule[Finish Date],"&gt;="&amp;day_cash[[#This Row],[Date]]-$F$2)</f>
        <v>0</v>
      </c>
      <c r="G127" s="3">
        <f>SUMIFS(schedule[Other CPP], schedule[Start Date],"&lt;="&amp;day_cash[[#This Row],[Date]]-$G$2, schedule[Finish Date],"&gt;="&amp;day_cash[[#This Row],[Date]]-$G$2)</f>
        <v>314.46540880503147</v>
      </c>
      <c r="H127" s="3">
        <f>SUM(day_cash[[#This Row],[Labor Cost]:[Other Cost]])</f>
        <v>6748.393682263244</v>
      </c>
      <c r="I127" s="3">
        <f>SUMIFS(schedule[Revenue per Day], schedule[Start Date],"&lt;="&amp;day_cash[[#This Row],[Date]]-$I$2, schedule[Finish Date],"&gt;="&amp;day_cash[[#This Row],[Date]]-$I$2)</f>
        <v>6648.6883482290632</v>
      </c>
      <c r="J127" s="3">
        <f>SUM(day_cash[[#Headers],[Labor Cost]]:day_cash[[#This Row],[Labor Cost]])</f>
        <v>484052.61759234563</v>
      </c>
      <c r="K127" s="3">
        <f>SUM(day_cash[[#Headers],[Material Cost]]:day_cash[[#This Row],[Material Cost]])</f>
        <v>143822.06026858819</v>
      </c>
      <c r="L127" s="3">
        <f>SUM(day_cash[[#Headers],[Equipment Cost]]:day_cash[[#This Row],[Equipment Cost]])</f>
        <v>55452.830188679174</v>
      </c>
      <c r="M127" s="3">
        <f>SUM(day_cash[[#Headers],[Sub Cost]]:day_cash[[#This Row],[Sub Cost]])</f>
        <v>90000.000000000015</v>
      </c>
      <c r="N127" s="3">
        <f>SUM(day_cash[[#Headers],[Other Cost]]:day_cash[[#This Row],[Other Cost]])</f>
        <v>36801.886792452766</v>
      </c>
      <c r="O127" s="3">
        <f>SUM(day_cash[[#This Row],[Cumulative Labor]:[Cumulative Other]])</f>
        <v>810129.39484206575</v>
      </c>
      <c r="P127" s="3">
        <f>SUM(day_cash[[#Headers],[Revenue]]:day_cash[[#This Row],[Revenue]])</f>
        <v>396392.61668321746</v>
      </c>
    </row>
    <row r="128" spans="2:16" x14ac:dyDescent="0.45">
      <c r="B128" s="1">
        <v>46511</v>
      </c>
      <c r="C128" s="4">
        <f>SUMIFS(schedule[Labor CPP], schedule[Start Date],"&lt;="&amp;day_cash[[#This Row],[Date]], schedule[Finish Date],"&gt;="&amp;day_cash[[#This Row],[Date]])</f>
        <v>2844.8046771193194</v>
      </c>
      <c r="D128" s="4">
        <f>SUMIFS(schedule[Material CPP], schedule[Start Date],"&lt;="&amp;day_cash[[#This Row],[Date]]-$D$2, schedule[Finish Date],"&gt;="&amp;day_cash[[#This Row],[Date]]-$D$2)</f>
        <v>3117.4254831313465</v>
      </c>
      <c r="E128" s="4">
        <f>SUMIFS(schedule[Equipment CPP], schedule[Start Date],"&lt;="&amp;day_cash[[#This Row],[Date]]-$E$2, schedule[Finish Date],"&gt;="&amp;day_cash[[#This Row],[Date]]-$E$2)</f>
        <v>471.69811320754718</v>
      </c>
      <c r="F128" s="4">
        <f>SUMIFS(schedule[Sub CPP], schedule[Start Date],"&lt;="&amp;day_cash[[#This Row],[Date]]-$F$2, schedule[Finish Date],"&gt;="&amp;day_cash[[#This Row],[Date]]-$F$2)</f>
        <v>0</v>
      </c>
      <c r="G128" s="3">
        <f>SUMIFS(schedule[Other CPP], schedule[Start Date],"&lt;="&amp;day_cash[[#This Row],[Date]]-$G$2, schedule[Finish Date],"&gt;="&amp;day_cash[[#This Row],[Date]]-$G$2)</f>
        <v>314.46540880503147</v>
      </c>
      <c r="H128" s="3">
        <f>SUM(day_cash[[#This Row],[Labor Cost]:[Other Cost]])</f>
        <v>6748.393682263244</v>
      </c>
      <c r="I128" s="3">
        <f>SUMIFS(schedule[Revenue per Day], schedule[Start Date],"&lt;="&amp;day_cash[[#This Row],[Date]]-$I$2, schedule[Finish Date],"&gt;="&amp;day_cash[[#This Row],[Date]]-$I$2)</f>
        <v>13625.432534275575</v>
      </c>
      <c r="J128" s="3">
        <f>SUM(day_cash[[#Headers],[Labor Cost]]:day_cash[[#This Row],[Labor Cost]])</f>
        <v>486897.42226946494</v>
      </c>
      <c r="K128" s="3">
        <f>SUM(day_cash[[#Headers],[Material Cost]]:day_cash[[#This Row],[Material Cost]])</f>
        <v>146939.48575171953</v>
      </c>
      <c r="L128" s="3">
        <f>SUM(day_cash[[#Headers],[Equipment Cost]]:day_cash[[#This Row],[Equipment Cost]])</f>
        <v>55924.528301886719</v>
      </c>
      <c r="M128" s="3">
        <f>SUM(day_cash[[#Headers],[Sub Cost]]:day_cash[[#This Row],[Sub Cost]])</f>
        <v>90000.000000000015</v>
      </c>
      <c r="N128" s="3">
        <f>SUM(day_cash[[#Headers],[Other Cost]]:day_cash[[#This Row],[Other Cost]])</f>
        <v>37116.352201257796</v>
      </c>
      <c r="O128" s="3">
        <f>SUM(day_cash[[#This Row],[Cumulative Labor]:[Cumulative Other]])</f>
        <v>816877.78852432908</v>
      </c>
      <c r="P128" s="3">
        <f>SUM(day_cash[[#Headers],[Revenue]]:day_cash[[#This Row],[Revenue]])</f>
        <v>410018.04921749304</v>
      </c>
    </row>
    <row r="129" spans="2:16" x14ac:dyDescent="0.45">
      <c r="B129" s="1">
        <v>46512</v>
      </c>
      <c r="C129" s="4">
        <f>SUMIFS(schedule[Labor CPP], schedule[Start Date],"&lt;="&amp;day_cash[[#This Row],[Date]], schedule[Finish Date],"&gt;="&amp;day_cash[[#This Row],[Date]])</f>
        <v>2844.8046771193194</v>
      </c>
      <c r="D129" s="4">
        <f>SUMIFS(schedule[Material CPP], schedule[Start Date],"&lt;="&amp;day_cash[[#This Row],[Date]]-$D$2, schedule[Finish Date],"&gt;="&amp;day_cash[[#This Row],[Date]]-$D$2)</f>
        <v>3117.4254831313465</v>
      </c>
      <c r="E129" s="4">
        <f>SUMIFS(schedule[Equipment CPP], schedule[Start Date],"&lt;="&amp;day_cash[[#This Row],[Date]]-$E$2, schedule[Finish Date],"&gt;="&amp;day_cash[[#This Row],[Date]]-$E$2)</f>
        <v>471.69811320754718</v>
      </c>
      <c r="F129" s="4">
        <f>SUMIFS(schedule[Sub CPP], schedule[Start Date],"&lt;="&amp;day_cash[[#This Row],[Date]]-$F$2, schedule[Finish Date],"&gt;="&amp;day_cash[[#This Row],[Date]]-$F$2)</f>
        <v>0</v>
      </c>
      <c r="G129" s="3">
        <f>SUMIFS(schedule[Other CPP], schedule[Start Date],"&lt;="&amp;day_cash[[#This Row],[Date]]-$G$2, schedule[Finish Date],"&gt;="&amp;day_cash[[#This Row],[Date]]-$G$2)</f>
        <v>314.46540880503147</v>
      </c>
      <c r="H129" s="3">
        <f>SUM(day_cash[[#This Row],[Labor Cost]:[Other Cost]])</f>
        <v>6748.393682263244</v>
      </c>
      <c r="I129" s="3">
        <f>SUMIFS(schedule[Revenue per Day], schedule[Start Date],"&lt;="&amp;day_cash[[#This Row],[Date]]-$I$2, schedule[Finish Date],"&gt;="&amp;day_cash[[#This Row],[Date]]-$I$2)</f>
        <v>9069.5114816439964</v>
      </c>
      <c r="J129" s="3">
        <f>SUM(day_cash[[#Headers],[Labor Cost]]:day_cash[[#This Row],[Labor Cost]])</f>
        <v>489742.22694658424</v>
      </c>
      <c r="K129" s="3">
        <f>SUM(day_cash[[#Headers],[Material Cost]]:day_cash[[#This Row],[Material Cost]])</f>
        <v>150056.91123485088</v>
      </c>
      <c r="L129" s="3">
        <f>SUM(day_cash[[#Headers],[Equipment Cost]]:day_cash[[#This Row],[Equipment Cost]])</f>
        <v>56396.226415094265</v>
      </c>
      <c r="M129" s="3">
        <f>SUM(day_cash[[#Headers],[Sub Cost]]:day_cash[[#This Row],[Sub Cost]])</f>
        <v>90000.000000000015</v>
      </c>
      <c r="N129" s="3">
        <f>SUM(day_cash[[#Headers],[Other Cost]]:day_cash[[#This Row],[Other Cost]])</f>
        <v>37430.817610062826</v>
      </c>
      <c r="O129" s="3">
        <f>SUM(day_cash[[#This Row],[Cumulative Labor]:[Cumulative Other]])</f>
        <v>823626.18220659217</v>
      </c>
      <c r="P129" s="3">
        <f>SUM(day_cash[[#Headers],[Revenue]]:day_cash[[#This Row],[Revenue]])</f>
        <v>419087.56069913704</v>
      </c>
    </row>
    <row r="130" spans="2:16" x14ac:dyDescent="0.45">
      <c r="B130" s="1">
        <v>46513</v>
      </c>
      <c r="C130" s="4">
        <f>SUMIFS(schedule[Labor CPP], schedule[Start Date],"&lt;="&amp;day_cash[[#This Row],[Date]], schedule[Finish Date],"&gt;="&amp;day_cash[[#This Row],[Date]])</f>
        <v>2844.8046771193194</v>
      </c>
      <c r="D130" s="4">
        <f>SUMIFS(schedule[Material CPP], schedule[Start Date],"&lt;="&amp;day_cash[[#This Row],[Date]]-$D$2, schedule[Finish Date],"&gt;="&amp;day_cash[[#This Row],[Date]]-$D$2)</f>
        <v>3117.4254831313465</v>
      </c>
      <c r="E130" s="4">
        <f>SUMIFS(schedule[Equipment CPP], schedule[Start Date],"&lt;="&amp;day_cash[[#This Row],[Date]]-$E$2, schedule[Finish Date],"&gt;="&amp;day_cash[[#This Row],[Date]]-$E$2)</f>
        <v>471.69811320754718</v>
      </c>
      <c r="F130" s="4">
        <f>SUMIFS(schedule[Sub CPP], schedule[Start Date],"&lt;="&amp;day_cash[[#This Row],[Date]]-$F$2, schedule[Finish Date],"&gt;="&amp;day_cash[[#This Row],[Date]]-$F$2)</f>
        <v>0</v>
      </c>
      <c r="G130" s="3">
        <f>SUMIFS(schedule[Other CPP], schedule[Start Date],"&lt;="&amp;day_cash[[#This Row],[Date]]-$G$2, schedule[Finish Date],"&gt;="&amp;day_cash[[#This Row],[Date]]-$G$2)</f>
        <v>314.46540880503147</v>
      </c>
      <c r="H130" s="3">
        <f>SUM(day_cash[[#This Row],[Labor Cost]:[Other Cost]])</f>
        <v>6748.393682263244</v>
      </c>
      <c r="I130" s="3">
        <f>SUMIFS(schedule[Revenue per Day], schedule[Start Date],"&lt;="&amp;day_cash[[#This Row],[Date]]-$I$2, schedule[Finish Date],"&gt;="&amp;day_cash[[#This Row],[Date]]-$I$2)</f>
        <v>9069.5114816439964</v>
      </c>
      <c r="J130" s="3">
        <f>SUM(day_cash[[#Headers],[Labor Cost]]:day_cash[[#This Row],[Labor Cost]])</f>
        <v>492587.03162370354</v>
      </c>
      <c r="K130" s="3">
        <f>SUM(day_cash[[#Headers],[Material Cost]]:day_cash[[#This Row],[Material Cost]])</f>
        <v>153174.33671798222</v>
      </c>
      <c r="L130" s="3">
        <f>SUM(day_cash[[#Headers],[Equipment Cost]]:day_cash[[#This Row],[Equipment Cost]])</f>
        <v>56867.92452830181</v>
      </c>
      <c r="M130" s="3">
        <f>SUM(day_cash[[#Headers],[Sub Cost]]:day_cash[[#This Row],[Sub Cost]])</f>
        <v>90000.000000000015</v>
      </c>
      <c r="N130" s="3">
        <f>SUM(day_cash[[#Headers],[Other Cost]]:day_cash[[#This Row],[Other Cost]])</f>
        <v>37745.283018867856</v>
      </c>
      <c r="O130" s="3">
        <f>SUM(day_cash[[#This Row],[Cumulative Labor]:[Cumulative Other]])</f>
        <v>830374.57588885538</v>
      </c>
      <c r="P130" s="3">
        <f>SUM(day_cash[[#Headers],[Revenue]]:day_cash[[#This Row],[Revenue]])</f>
        <v>428157.07218078105</v>
      </c>
    </row>
    <row r="131" spans="2:16" x14ac:dyDescent="0.45">
      <c r="B131" s="1">
        <v>46514</v>
      </c>
      <c r="C131" s="4">
        <f>SUMIFS(schedule[Labor CPP], schedule[Start Date],"&lt;="&amp;day_cash[[#This Row],[Date]], schedule[Finish Date],"&gt;="&amp;day_cash[[#This Row],[Date]])</f>
        <v>2844.8046771193194</v>
      </c>
      <c r="D131" s="4">
        <f>SUMIFS(schedule[Material CPP], schedule[Start Date],"&lt;="&amp;day_cash[[#This Row],[Date]]-$D$2, schedule[Finish Date],"&gt;="&amp;day_cash[[#This Row],[Date]]-$D$2)</f>
        <v>3117.4254831313465</v>
      </c>
      <c r="E131" s="4">
        <f>SUMIFS(schedule[Equipment CPP], schedule[Start Date],"&lt;="&amp;day_cash[[#This Row],[Date]]-$E$2, schedule[Finish Date],"&gt;="&amp;day_cash[[#This Row],[Date]]-$E$2)</f>
        <v>471.69811320754718</v>
      </c>
      <c r="F131" s="4">
        <f>SUMIFS(schedule[Sub CPP], schedule[Start Date],"&lt;="&amp;day_cash[[#This Row],[Date]]-$F$2, schedule[Finish Date],"&gt;="&amp;day_cash[[#This Row],[Date]]-$F$2)</f>
        <v>0</v>
      </c>
      <c r="G131" s="3">
        <f>SUMIFS(schedule[Other CPP], schedule[Start Date],"&lt;="&amp;day_cash[[#This Row],[Date]]-$G$2, schedule[Finish Date],"&gt;="&amp;day_cash[[#This Row],[Date]]-$G$2)</f>
        <v>314.46540880503147</v>
      </c>
      <c r="H131" s="3">
        <f>SUM(day_cash[[#This Row],[Labor Cost]:[Other Cost]])</f>
        <v>6748.393682263244</v>
      </c>
      <c r="I131" s="3">
        <f>SUMIFS(schedule[Revenue per Day], schedule[Start Date],"&lt;="&amp;day_cash[[#This Row],[Date]]-$I$2, schedule[Finish Date],"&gt;="&amp;day_cash[[#This Row],[Date]]-$I$2)</f>
        <v>9069.5114816439964</v>
      </c>
      <c r="J131" s="3">
        <f>SUM(day_cash[[#Headers],[Labor Cost]]:day_cash[[#This Row],[Labor Cost]])</f>
        <v>495431.83630082285</v>
      </c>
      <c r="K131" s="3">
        <f>SUM(day_cash[[#Headers],[Material Cost]]:day_cash[[#This Row],[Material Cost]])</f>
        <v>156291.76220111357</v>
      </c>
      <c r="L131" s="3">
        <f>SUM(day_cash[[#Headers],[Equipment Cost]]:day_cash[[#This Row],[Equipment Cost]])</f>
        <v>57339.622641509355</v>
      </c>
      <c r="M131" s="3">
        <f>SUM(day_cash[[#Headers],[Sub Cost]]:day_cash[[#This Row],[Sub Cost]])</f>
        <v>90000.000000000015</v>
      </c>
      <c r="N131" s="3">
        <f>SUM(day_cash[[#Headers],[Other Cost]]:day_cash[[#This Row],[Other Cost]])</f>
        <v>38059.748427672886</v>
      </c>
      <c r="O131" s="3">
        <f>SUM(day_cash[[#This Row],[Cumulative Labor]:[Cumulative Other]])</f>
        <v>837122.96957111871</v>
      </c>
      <c r="P131" s="3">
        <f>SUM(day_cash[[#Headers],[Revenue]]:day_cash[[#This Row],[Revenue]])</f>
        <v>437226.58366242505</v>
      </c>
    </row>
    <row r="132" spans="2:16" x14ac:dyDescent="0.45">
      <c r="B132" s="1">
        <v>46515</v>
      </c>
      <c r="C132" s="4">
        <f>SUMIFS(schedule[Labor CPP], schedule[Start Date],"&lt;="&amp;day_cash[[#This Row],[Date]], schedule[Finish Date],"&gt;="&amp;day_cash[[#This Row],[Date]])</f>
        <v>2844.8046771193194</v>
      </c>
      <c r="D132" s="4">
        <f>SUMIFS(schedule[Material CPP], schedule[Start Date],"&lt;="&amp;day_cash[[#This Row],[Date]]-$D$2, schedule[Finish Date],"&gt;="&amp;day_cash[[#This Row],[Date]]-$D$2)</f>
        <v>3117.4254831313465</v>
      </c>
      <c r="E132" s="4">
        <f>SUMIFS(schedule[Equipment CPP], schedule[Start Date],"&lt;="&amp;day_cash[[#This Row],[Date]]-$E$2, schedule[Finish Date],"&gt;="&amp;day_cash[[#This Row],[Date]]-$E$2)</f>
        <v>471.69811320754718</v>
      </c>
      <c r="F132" s="4">
        <f>SUMIFS(schedule[Sub CPP], schedule[Start Date],"&lt;="&amp;day_cash[[#This Row],[Date]]-$F$2, schedule[Finish Date],"&gt;="&amp;day_cash[[#This Row],[Date]]-$F$2)</f>
        <v>0</v>
      </c>
      <c r="G132" s="3">
        <f>SUMIFS(schedule[Other CPP], schedule[Start Date],"&lt;="&amp;day_cash[[#This Row],[Date]]-$G$2, schedule[Finish Date],"&gt;="&amp;day_cash[[#This Row],[Date]]-$G$2)</f>
        <v>314.46540880503147</v>
      </c>
      <c r="H132" s="3">
        <f>SUM(day_cash[[#This Row],[Labor Cost]:[Other Cost]])</f>
        <v>6748.393682263244</v>
      </c>
      <c r="I132" s="3">
        <f>SUMIFS(schedule[Revenue per Day], schedule[Start Date],"&lt;="&amp;day_cash[[#This Row],[Date]]-$I$2, schedule[Finish Date],"&gt;="&amp;day_cash[[#This Row],[Date]]-$I$2)</f>
        <v>9069.5114816439964</v>
      </c>
      <c r="J132" s="3">
        <f>SUM(day_cash[[#Headers],[Labor Cost]]:day_cash[[#This Row],[Labor Cost]])</f>
        <v>498276.64097794215</v>
      </c>
      <c r="K132" s="3">
        <f>SUM(day_cash[[#Headers],[Material Cost]]:day_cash[[#This Row],[Material Cost]])</f>
        <v>159409.18768424491</v>
      </c>
      <c r="L132" s="3">
        <f>SUM(day_cash[[#Headers],[Equipment Cost]]:day_cash[[#This Row],[Equipment Cost]])</f>
        <v>57811.3207547169</v>
      </c>
      <c r="M132" s="3">
        <f>SUM(day_cash[[#Headers],[Sub Cost]]:day_cash[[#This Row],[Sub Cost]])</f>
        <v>90000.000000000015</v>
      </c>
      <c r="N132" s="3">
        <f>SUM(day_cash[[#Headers],[Other Cost]]:day_cash[[#This Row],[Other Cost]])</f>
        <v>38374.213836477917</v>
      </c>
      <c r="O132" s="3">
        <f>SUM(day_cash[[#This Row],[Cumulative Labor]:[Cumulative Other]])</f>
        <v>843871.36325338192</v>
      </c>
      <c r="P132" s="3">
        <f>SUM(day_cash[[#Headers],[Revenue]]:day_cash[[#This Row],[Revenue]])</f>
        <v>446296.09514406906</v>
      </c>
    </row>
    <row r="133" spans="2:16" x14ac:dyDescent="0.45">
      <c r="B133" s="1">
        <v>46516</v>
      </c>
      <c r="C133" s="4">
        <f>SUMIFS(schedule[Labor CPP], schedule[Start Date],"&lt;="&amp;day_cash[[#This Row],[Date]], schedule[Finish Date],"&gt;="&amp;day_cash[[#This Row],[Date]])</f>
        <v>2844.8046771193194</v>
      </c>
      <c r="D133" s="4">
        <f>SUMIFS(schedule[Material CPP], schedule[Start Date],"&lt;="&amp;day_cash[[#This Row],[Date]]-$D$2, schedule[Finish Date],"&gt;="&amp;day_cash[[#This Row],[Date]]-$D$2)</f>
        <v>3117.4254831313465</v>
      </c>
      <c r="E133" s="4">
        <f>SUMIFS(schedule[Equipment CPP], schedule[Start Date],"&lt;="&amp;day_cash[[#This Row],[Date]]-$E$2, schedule[Finish Date],"&gt;="&amp;day_cash[[#This Row],[Date]]-$E$2)</f>
        <v>471.69811320754718</v>
      </c>
      <c r="F133" s="4">
        <f>SUMIFS(schedule[Sub CPP], schedule[Start Date],"&lt;="&amp;day_cash[[#This Row],[Date]]-$F$2, schedule[Finish Date],"&gt;="&amp;day_cash[[#This Row],[Date]]-$F$2)</f>
        <v>0</v>
      </c>
      <c r="G133" s="3">
        <f>SUMIFS(schedule[Other CPP], schedule[Start Date],"&lt;="&amp;day_cash[[#This Row],[Date]]-$G$2, schedule[Finish Date],"&gt;="&amp;day_cash[[#This Row],[Date]]-$G$2)</f>
        <v>314.46540880503147</v>
      </c>
      <c r="H133" s="3">
        <f>SUM(day_cash[[#This Row],[Labor Cost]:[Other Cost]])</f>
        <v>6748.393682263244</v>
      </c>
      <c r="I133" s="3">
        <f>SUMIFS(schedule[Revenue per Day], schedule[Start Date],"&lt;="&amp;day_cash[[#This Row],[Date]]-$I$2, schedule[Finish Date],"&gt;="&amp;day_cash[[#This Row],[Date]]-$I$2)</f>
        <v>9069.5114816439964</v>
      </c>
      <c r="J133" s="3">
        <f>SUM(day_cash[[#Headers],[Labor Cost]]:day_cash[[#This Row],[Labor Cost]])</f>
        <v>501121.44565506146</v>
      </c>
      <c r="K133" s="3">
        <f>SUM(day_cash[[#Headers],[Material Cost]]:day_cash[[#This Row],[Material Cost]])</f>
        <v>162526.61316737626</v>
      </c>
      <c r="L133" s="3">
        <f>SUM(day_cash[[#Headers],[Equipment Cost]]:day_cash[[#This Row],[Equipment Cost]])</f>
        <v>58283.018867924446</v>
      </c>
      <c r="M133" s="3">
        <f>SUM(day_cash[[#Headers],[Sub Cost]]:day_cash[[#This Row],[Sub Cost]])</f>
        <v>90000.000000000015</v>
      </c>
      <c r="N133" s="3">
        <f>SUM(day_cash[[#Headers],[Other Cost]]:day_cash[[#This Row],[Other Cost]])</f>
        <v>38688.679245282947</v>
      </c>
      <c r="O133" s="3">
        <f>SUM(day_cash[[#This Row],[Cumulative Labor]:[Cumulative Other]])</f>
        <v>850619.75693564501</v>
      </c>
      <c r="P133" s="3">
        <f>SUM(day_cash[[#Headers],[Revenue]]:day_cash[[#This Row],[Revenue]])</f>
        <v>455365.60662571306</v>
      </c>
    </row>
    <row r="134" spans="2:16" x14ac:dyDescent="0.45">
      <c r="B134" s="1">
        <v>46517</v>
      </c>
      <c r="C134" s="4">
        <f>SUMIFS(schedule[Labor CPP], schedule[Start Date],"&lt;="&amp;day_cash[[#This Row],[Date]], schedule[Finish Date],"&gt;="&amp;day_cash[[#This Row],[Date]])</f>
        <v>2844.8046771193194</v>
      </c>
      <c r="D134" s="4">
        <f>SUMIFS(schedule[Material CPP], schedule[Start Date],"&lt;="&amp;day_cash[[#This Row],[Date]]-$D$2, schedule[Finish Date],"&gt;="&amp;day_cash[[#This Row],[Date]]-$D$2)</f>
        <v>3117.4254831313465</v>
      </c>
      <c r="E134" s="4">
        <f>SUMIFS(schedule[Equipment CPP], schedule[Start Date],"&lt;="&amp;day_cash[[#This Row],[Date]]-$E$2, schedule[Finish Date],"&gt;="&amp;day_cash[[#This Row],[Date]]-$E$2)</f>
        <v>471.69811320754718</v>
      </c>
      <c r="F134" s="4">
        <f>SUMIFS(schedule[Sub CPP], schedule[Start Date],"&lt;="&amp;day_cash[[#This Row],[Date]]-$F$2, schedule[Finish Date],"&gt;="&amp;day_cash[[#This Row],[Date]]-$F$2)</f>
        <v>0</v>
      </c>
      <c r="G134" s="3">
        <f>SUMIFS(schedule[Other CPP], schedule[Start Date],"&lt;="&amp;day_cash[[#This Row],[Date]]-$G$2, schedule[Finish Date],"&gt;="&amp;day_cash[[#This Row],[Date]]-$G$2)</f>
        <v>314.46540880503147</v>
      </c>
      <c r="H134" s="3">
        <f>SUM(day_cash[[#This Row],[Labor Cost]:[Other Cost]])</f>
        <v>6748.393682263244</v>
      </c>
      <c r="I134" s="3">
        <f>SUMIFS(schedule[Revenue per Day], schedule[Start Date],"&lt;="&amp;day_cash[[#This Row],[Date]]-$I$2, schedule[Finish Date],"&gt;="&amp;day_cash[[#This Row],[Date]]-$I$2)</f>
        <v>9069.5114816439964</v>
      </c>
      <c r="J134" s="3">
        <f>SUM(day_cash[[#Headers],[Labor Cost]]:day_cash[[#This Row],[Labor Cost]])</f>
        <v>503966.25033218076</v>
      </c>
      <c r="K134" s="3">
        <f>SUM(day_cash[[#Headers],[Material Cost]]:day_cash[[#This Row],[Material Cost]])</f>
        <v>165644.0386505076</v>
      </c>
      <c r="L134" s="3">
        <f>SUM(day_cash[[#Headers],[Equipment Cost]]:day_cash[[#This Row],[Equipment Cost]])</f>
        <v>58754.716981131991</v>
      </c>
      <c r="M134" s="3">
        <f>SUM(day_cash[[#Headers],[Sub Cost]]:day_cash[[#This Row],[Sub Cost]])</f>
        <v>90000.000000000015</v>
      </c>
      <c r="N134" s="3">
        <f>SUM(day_cash[[#Headers],[Other Cost]]:day_cash[[#This Row],[Other Cost]])</f>
        <v>39003.144654087977</v>
      </c>
      <c r="O134" s="3">
        <f>SUM(day_cash[[#This Row],[Cumulative Labor]:[Cumulative Other]])</f>
        <v>857368.15061790822</v>
      </c>
      <c r="P134" s="3">
        <f>SUM(day_cash[[#Headers],[Revenue]]:day_cash[[#This Row],[Revenue]])</f>
        <v>464435.11810735706</v>
      </c>
    </row>
    <row r="135" spans="2:16" x14ac:dyDescent="0.45">
      <c r="B135" s="1">
        <v>46518</v>
      </c>
      <c r="C135" s="4">
        <f>SUMIFS(schedule[Labor CPP], schedule[Start Date],"&lt;="&amp;day_cash[[#This Row],[Date]], schedule[Finish Date],"&gt;="&amp;day_cash[[#This Row],[Date]])</f>
        <v>2844.8046771193194</v>
      </c>
      <c r="D135" s="4">
        <f>SUMIFS(schedule[Material CPP], schedule[Start Date],"&lt;="&amp;day_cash[[#This Row],[Date]]-$D$2, schedule[Finish Date],"&gt;="&amp;day_cash[[#This Row],[Date]]-$D$2)</f>
        <v>3117.4254831313465</v>
      </c>
      <c r="E135" s="4">
        <f>SUMIFS(schedule[Equipment CPP], schedule[Start Date],"&lt;="&amp;day_cash[[#This Row],[Date]]-$E$2, schedule[Finish Date],"&gt;="&amp;day_cash[[#This Row],[Date]]-$E$2)</f>
        <v>471.69811320754718</v>
      </c>
      <c r="F135" s="4">
        <f>SUMIFS(schedule[Sub CPP], schedule[Start Date],"&lt;="&amp;day_cash[[#This Row],[Date]]-$F$2, schedule[Finish Date],"&gt;="&amp;day_cash[[#This Row],[Date]]-$F$2)</f>
        <v>0</v>
      </c>
      <c r="G135" s="3">
        <f>SUMIFS(schedule[Other CPP], schedule[Start Date],"&lt;="&amp;day_cash[[#This Row],[Date]]-$G$2, schedule[Finish Date],"&gt;="&amp;day_cash[[#This Row],[Date]]-$G$2)</f>
        <v>314.46540880503147</v>
      </c>
      <c r="H135" s="3">
        <f>SUM(day_cash[[#This Row],[Labor Cost]:[Other Cost]])</f>
        <v>6748.393682263244</v>
      </c>
      <c r="I135" s="3">
        <f>SUMIFS(schedule[Revenue per Day], schedule[Start Date],"&lt;="&amp;day_cash[[#This Row],[Date]]-$I$2, schedule[Finish Date],"&gt;="&amp;day_cash[[#This Row],[Date]]-$I$2)</f>
        <v>9069.5114816439964</v>
      </c>
      <c r="J135" s="3">
        <f>SUM(day_cash[[#Headers],[Labor Cost]]:day_cash[[#This Row],[Labor Cost]])</f>
        <v>506811.05500930006</v>
      </c>
      <c r="K135" s="3">
        <f>SUM(day_cash[[#Headers],[Material Cost]]:day_cash[[#This Row],[Material Cost]])</f>
        <v>168761.46413363895</v>
      </c>
      <c r="L135" s="3">
        <f>SUM(day_cash[[#Headers],[Equipment Cost]]:day_cash[[#This Row],[Equipment Cost]])</f>
        <v>59226.415094339536</v>
      </c>
      <c r="M135" s="3">
        <f>SUM(day_cash[[#Headers],[Sub Cost]]:day_cash[[#This Row],[Sub Cost]])</f>
        <v>90000.000000000015</v>
      </c>
      <c r="N135" s="3">
        <f>SUM(day_cash[[#Headers],[Other Cost]]:day_cash[[#This Row],[Other Cost]])</f>
        <v>39317.610062893007</v>
      </c>
      <c r="O135" s="3">
        <f>SUM(day_cash[[#This Row],[Cumulative Labor]:[Cumulative Other]])</f>
        <v>864116.54430017155</v>
      </c>
      <c r="P135" s="3">
        <f>SUM(day_cash[[#Headers],[Revenue]]:day_cash[[#This Row],[Revenue]])</f>
        <v>473504.62958900107</v>
      </c>
    </row>
    <row r="136" spans="2:16" x14ac:dyDescent="0.45">
      <c r="B136" s="1">
        <v>46519</v>
      </c>
      <c r="C136" s="4">
        <f>SUMIFS(schedule[Labor CPP], schedule[Start Date],"&lt;="&amp;day_cash[[#This Row],[Date]], schedule[Finish Date],"&gt;="&amp;day_cash[[#This Row],[Date]])</f>
        <v>2844.8046771193194</v>
      </c>
      <c r="D136" s="4">
        <f>SUMIFS(schedule[Material CPP], schedule[Start Date],"&lt;="&amp;day_cash[[#This Row],[Date]]-$D$2, schedule[Finish Date],"&gt;="&amp;day_cash[[#This Row],[Date]]-$D$2)</f>
        <v>3117.4254831313465</v>
      </c>
      <c r="E136" s="4">
        <f>SUMIFS(schedule[Equipment CPP], schedule[Start Date],"&lt;="&amp;day_cash[[#This Row],[Date]]-$E$2, schedule[Finish Date],"&gt;="&amp;day_cash[[#This Row],[Date]]-$E$2)</f>
        <v>471.69811320754718</v>
      </c>
      <c r="F136" s="4">
        <f>SUMIFS(schedule[Sub CPP], schedule[Start Date],"&lt;="&amp;day_cash[[#This Row],[Date]]-$F$2, schedule[Finish Date],"&gt;="&amp;day_cash[[#This Row],[Date]]-$F$2)</f>
        <v>0</v>
      </c>
      <c r="G136" s="3">
        <f>SUMIFS(schedule[Other CPP], schedule[Start Date],"&lt;="&amp;day_cash[[#This Row],[Date]]-$G$2, schedule[Finish Date],"&gt;="&amp;day_cash[[#This Row],[Date]]-$G$2)</f>
        <v>314.46540880503147</v>
      </c>
      <c r="H136" s="3">
        <f>SUM(day_cash[[#This Row],[Labor Cost]:[Other Cost]])</f>
        <v>6748.393682263244</v>
      </c>
      <c r="I136" s="3">
        <f>SUMIFS(schedule[Revenue per Day], schedule[Start Date],"&lt;="&amp;day_cash[[#This Row],[Date]]-$I$2, schedule[Finish Date],"&gt;="&amp;day_cash[[#This Row],[Date]]-$I$2)</f>
        <v>9069.5114816439964</v>
      </c>
      <c r="J136" s="3">
        <f>SUM(day_cash[[#Headers],[Labor Cost]]:day_cash[[#This Row],[Labor Cost]])</f>
        <v>509655.85968641937</v>
      </c>
      <c r="K136" s="3">
        <f>SUM(day_cash[[#Headers],[Material Cost]]:day_cash[[#This Row],[Material Cost]])</f>
        <v>171878.88961677029</v>
      </c>
      <c r="L136" s="3">
        <f>SUM(day_cash[[#Headers],[Equipment Cost]]:day_cash[[#This Row],[Equipment Cost]])</f>
        <v>59698.113207547081</v>
      </c>
      <c r="M136" s="3">
        <f>SUM(day_cash[[#Headers],[Sub Cost]]:day_cash[[#This Row],[Sub Cost]])</f>
        <v>90000.000000000015</v>
      </c>
      <c r="N136" s="3">
        <f>SUM(day_cash[[#Headers],[Other Cost]]:day_cash[[#This Row],[Other Cost]])</f>
        <v>39632.075471698037</v>
      </c>
      <c r="O136" s="3">
        <f>SUM(day_cash[[#This Row],[Cumulative Labor]:[Cumulative Other]])</f>
        <v>870864.93798243487</v>
      </c>
      <c r="P136" s="3">
        <f>SUM(day_cash[[#Headers],[Revenue]]:day_cash[[#This Row],[Revenue]])</f>
        <v>482574.14107064507</v>
      </c>
    </row>
    <row r="137" spans="2:16" x14ac:dyDescent="0.45">
      <c r="B137" s="1">
        <v>46520</v>
      </c>
      <c r="C137" s="4">
        <f>SUMIFS(schedule[Labor CPP], schedule[Start Date],"&lt;="&amp;day_cash[[#This Row],[Date]], schedule[Finish Date],"&gt;="&amp;day_cash[[#This Row],[Date]])</f>
        <v>2844.8046771193194</v>
      </c>
      <c r="D137" s="4">
        <f>SUMIFS(schedule[Material CPP], schedule[Start Date],"&lt;="&amp;day_cash[[#This Row],[Date]]-$D$2, schedule[Finish Date],"&gt;="&amp;day_cash[[#This Row],[Date]]-$D$2)</f>
        <v>3117.4254831313465</v>
      </c>
      <c r="E137" s="4">
        <f>SUMIFS(schedule[Equipment CPP], schedule[Start Date],"&lt;="&amp;day_cash[[#This Row],[Date]]-$E$2, schedule[Finish Date],"&gt;="&amp;day_cash[[#This Row],[Date]]-$E$2)</f>
        <v>471.69811320754718</v>
      </c>
      <c r="F137" s="4">
        <f>SUMIFS(schedule[Sub CPP], schedule[Start Date],"&lt;="&amp;day_cash[[#This Row],[Date]]-$F$2, schedule[Finish Date],"&gt;="&amp;day_cash[[#This Row],[Date]]-$F$2)</f>
        <v>0</v>
      </c>
      <c r="G137" s="3">
        <f>SUMIFS(schedule[Other CPP], schedule[Start Date],"&lt;="&amp;day_cash[[#This Row],[Date]]-$G$2, schedule[Finish Date],"&gt;="&amp;day_cash[[#This Row],[Date]]-$G$2)</f>
        <v>314.46540880503147</v>
      </c>
      <c r="H137" s="3">
        <f>SUM(day_cash[[#This Row],[Labor Cost]:[Other Cost]])</f>
        <v>6748.393682263244</v>
      </c>
      <c r="I137" s="3">
        <f>SUMIFS(schedule[Revenue per Day], schedule[Start Date],"&lt;="&amp;day_cash[[#This Row],[Date]]-$I$2, schedule[Finish Date],"&gt;="&amp;day_cash[[#This Row],[Date]]-$I$2)</f>
        <v>9069.5114816439964</v>
      </c>
      <c r="J137" s="3">
        <f>SUM(day_cash[[#Headers],[Labor Cost]]:day_cash[[#This Row],[Labor Cost]])</f>
        <v>512500.66436353867</v>
      </c>
      <c r="K137" s="3">
        <f>SUM(day_cash[[#Headers],[Material Cost]]:day_cash[[#This Row],[Material Cost]])</f>
        <v>174996.31509990164</v>
      </c>
      <c r="L137" s="3">
        <f>SUM(day_cash[[#Headers],[Equipment Cost]]:day_cash[[#This Row],[Equipment Cost]])</f>
        <v>60169.811320754627</v>
      </c>
      <c r="M137" s="3">
        <f>SUM(day_cash[[#Headers],[Sub Cost]]:day_cash[[#This Row],[Sub Cost]])</f>
        <v>90000.000000000015</v>
      </c>
      <c r="N137" s="3">
        <f>SUM(day_cash[[#Headers],[Other Cost]]:day_cash[[#This Row],[Other Cost]])</f>
        <v>39946.540880503067</v>
      </c>
      <c r="O137" s="3">
        <f>SUM(day_cash[[#This Row],[Cumulative Labor]:[Cumulative Other]])</f>
        <v>877613.33166469797</v>
      </c>
      <c r="P137" s="3">
        <f>SUM(day_cash[[#Headers],[Revenue]]:day_cash[[#This Row],[Revenue]])</f>
        <v>491643.65255228907</v>
      </c>
    </row>
    <row r="138" spans="2:16" x14ac:dyDescent="0.45">
      <c r="B138" s="1">
        <v>46521</v>
      </c>
      <c r="C138" s="4">
        <f>SUMIFS(schedule[Labor CPP], schedule[Start Date],"&lt;="&amp;day_cash[[#This Row],[Date]], schedule[Finish Date],"&gt;="&amp;day_cash[[#This Row],[Date]])</f>
        <v>2844.8046771193194</v>
      </c>
      <c r="D138" s="4">
        <f>SUMIFS(schedule[Material CPP], schedule[Start Date],"&lt;="&amp;day_cash[[#This Row],[Date]]-$D$2, schedule[Finish Date],"&gt;="&amp;day_cash[[#This Row],[Date]]-$D$2)</f>
        <v>3117.4254831313465</v>
      </c>
      <c r="E138" s="4">
        <f>SUMIFS(schedule[Equipment CPP], schedule[Start Date],"&lt;="&amp;day_cash[[#This Row],[Date]]-$E$2, schedule[Finish Date],"&gt;="&amp;day_cash[[#This Row],[Date]]-$E$2)</f>
        <v>471.69811320754718</v>
      </c>
      <c r="F138" s="4">
        <f>SUMIFS(schedule[Sub CPP], schedule[Start Date],"&lt;="&amp;day_cash[[#This Row],[Date]]-$F$2, schedule[Finish Date],"&gt;="&amp;day_cash[[#This Row],[Date]]-$F$2)</f>
        <v>0</v>
      </c>
      <c r="G138" s="3">
        <f>SUMIFS(schedule[Other CPP], schedule[Start Date],"&lt;="&amp;day_cash[[#This Row],[Date]]-$G$2, schedule[Finish Date],"&gt;="&amp;day_cash[[#This Row],[Date]]-$G$2)</f>
        <v>314.46540880503147</v>
      </c>
      <c r="H138" s="3">
        <f>SUM(day_cash[[#This Row],[Labor Cost]:[Other Cost]])</f>
        <v>6748.393682263244</v>
      </c>
      <c r="I138" s="3">
        <f>SUMIFS(schedule[Revenue per Day], schedule[Start Date],"&lt;="&amp;day_cash[[#This Row],[Date]]-$I$2, schedule[Finish Date],"&gt;="&amp;day_cash[[#This Row],[Date]]-$I$2)</f>
        <v>9069.5114816439964</v>
      </c>
      <c r="J138" s="3">
        <f>SUM(day_cash[[#Headers],[Labor Cost]]:day_cash[[#This Row],[Labor Cost]])</f>
        <v>515345.46904065798</v>
      </c>
      <c r="K138" s="3">
        <f>SUM(day_cash[[#Headers],[Material Cost]]:day_cash[[#This Row],[Material Cost]])</f>
        <v>178113.74058303298</v>
      </c>
      <c r="L138" s="3">
        <f>SUM(day_cash[[#Headers],[Equipment Cost]]:day_cash[[#This Row],[Equipment Cost]])</f>
        <v>60641.509433962172</v>
      </c>
      <c r="M138" s="3">
        <f>SUM(day_cash[[#Headers],[Sub Cost]]:day_cash[[#This Row],[Sub Cost]])</f>
        <v>90000.000000000015</v>
      </c>
      <c r="N138" s="3">
        <f>SUM(day_cash[[#Headers],[Other Cost]]:day_cash[[#This Row],[Other Cost]])</f>
        <v>40261.006289308098</v>
      </c>
      <c r="O138" s="3">
        <f>SUM(day_cash[[#This Row],[Cumulative Labor]:[Cumulative Other]])</f>
        <v>884361.72534696118</v>
      </c>
      <c r="P138" s="3">
        <f>SUM(day_cash[[#Headers],[Revenue]]:day_cash[[#This Row],[Revenue]])</f>
        <v>500713.16403393308</v>
      </c>
    </row>
    <row r="139" spans="2:16" x14ac:dyDescent="0.45">
      <c r="B139" s="1">
        <v>46522</v>
      </c>
      <c r="C139" s="4">
        <f>SUMIFS(schedule[Labor CPP], schedule[Start Date],"&lt;="&amp;day_cash[[#This Row],[Date]], schedule[Finish Date],"&gt;="&amp;day_cash[[#This Row],[Date]])</f>
        <v>2844.8046771193194</v>
      </c>
      <c r="D139" s="4">
        <f>SUMIFS(schedule[Material CPP], schedule[Start Date],"&lt;="&amp;day_cash[[#This Row],[Date]]-$D$2, schedule[Finish Date],"&gt;="&amp;day_cash[[#This Row],[Date]]-$D$2)</f>
        <v>3117.4254831313465</v>
      </c>
      <c r="E139" s="4">
        <f>SUMIFS(schedule[Equipment CPP], schedule[Start Date],"&lt;="&amp;day_cash[[#This Row],[Date]]-$E$2, schedule[Finish Date],"&gt;="&amp;day_cash[[#This Row],[Date]]-$E$2)</f>
        <v>471.69811320754718</v>
      </c>
      <c r="F139" s="4">
        <f>SUMIFS(schedule[Sub CPP], schedule[Start Date],"&lt;="&amp;day_cash[[#This Row],[Date]]-$F$2, schedule[Finish Date],"&gt;="&amp;day_cash[[#This Row],[Date]]-$F$2)</f>
        <v>0</v>
      </c>
      <c r="G139" s="3">
        <f>SUMIFS(schedule[Other CPP], schedule[Start Date],"&lt;="&amp;day_cash[[#This Row],[Date]]-$G$2, schedule[Finish Date],"&gt;="&amp;day_cash[[#This Row],[Date]]-$G$2)</f>
        <v>314.46540880503147</v>
      </c>
      <c r="H139" s="3">
        <f>SUM(day_cash[[#This Row],[Labor Cost]:[Other Cost]])</f>
        <v>6748.393682263244</v>
      </c>
      <c r="I139" s="3">
        <f>SUMIFS(schedule[Revenue per Day], schedule[Start Date],"&lt;="&amp;day_cash[[#This Row],[Date]]-$I$2, schedule[Finish Date],"&gt;="&amp;day_cash[[#This Row],[Date]]-$I$2)</f>
        <v>9069.5114816439964</v>
      </c>
      <c r="J139" s="3">
        <f>SUM(day_cash[[#Headers],[Labor Cost]]:day_cash[[#This Row],[Labor Cost]])</f>
        <v>518190.27371777728</v>
      </c>
      <c r="K139" s="3">
        <f>SUM(day_cash[[#Headers],[Material Cost]]:day_cash[[#This Row],[Material Cost]])</f>
        <v>181231.16606616433</v>
      </c>
      <c r="L139" s="3">
        <f>SUM(day_cash[[#Headers],[Equipment Cost]]:day_cash[[#This Row],[Equipment Cost]])</f>
        <v>61113.207547169717</v>
      </c>
      <c r="M139" s="3">
        <f>SUM(day_cash[[#Headers],[Sub Cost]]:day_cash[[#This Row],[Sub Cost]])</f>
        <v>90000.000000000015</v>
      </c>
      <c r="N139" s="3">
        <f>SUM(day_cash[[#Headers],[Other Cost]]:day_cash[[#This Row],[Other Cost]])</f>
        <v>40575.471698113128</v>
      </c>
      <c r="O139" s="3">
        <f>SUM(day_cash[[#This Row],[Cumulative Labor]:[Cumulative Other]])</f>
        <v>891110.1190292245</v>
      </c>
      <c r="P139" s="3">
        <f>SUM(day_cash[[#Headers],[Revenue]]:day_cash[[#This Row],[Revenue]])</f>
        <v>509782.67551557708</v>
      </c>
    </row>
    <row r="140" spans="2:16" x14ac:dyDescent="0.45">
      <c r="B140" s="1">
        <v>46523</v>
      </c>
      <c r="C140" s="4">
        <f>SUMIFS(schedule[Labor CPP], schedule[Start Date],"&lt;="&amp;day_cash[[#This Row],[Date]], schedule[Finish Date],"&gt;="&amp;day_cash[[#This Row],[Date]])</f>
        <v>2844.8046771193194</v>
      </c>
      <c r="D140" s="4">
        <f>SUMIFS(schedule[Material CPP], schedule[Start Date],"&lt;="&amp;day_cash[[#This Row],[Date]]-$D$2, schedule[Finish Date],"&gt;="&amp;day_cash[[#This Row],[Date]]-$D$2)</f>
        <v>3117.4254831313465</v>
      </c>
      <c r="E140" s="4">
        <f>SUMIFS(schedule[Equipment CPP], schedule[Start Date],"&lt;="&amp;day_cash[[#This Row],[Date]]-$E$2, schedule[Finish Date],"&gt;="&amp;day_cash[[#This Row],[Date]]-$E$2)</f>
        <v>471.69811320754718</v>
      </c>
      <c r="F140" s="4">
        <f>SUMIFS(schedule[Sub CPP], schedule[Start Date],"&lt;="&amp;day_cash[[#This Row],[Date]]-$F$2, schedule[Finish Date],"&gt;="&amp;day_cash[[#This Row],[Date]]-$F$2)</f>
        <v>5758.5139318885449</v>
      </c>
      <c r="G140" s="3">
        <f>SUMIFS(schedule[Other CPP], schedule[Start Date],"&lt;="&amp;day_cash[[#This Row],[Date]]-$G$2, schedule[Finish Date],"&gt;="&amp;day_cash[[#This Row],[Date]]-$G$2)</f>
        <v>314.46540880503147</v>
      </c>
      <c r="H140" s="3">
        <f>SUM(day_cash[[#This Row],[Labor Cost]:[Other Cost]])</f>
        <v>12506.907614151789</v>
      </c>
      <c r="I140" s="3">
        <f>SUMIFS(schedule[Revenue per Day], schedule[Start Date],"&lt;="&amp;day_cash[[#This Row],[Date]]-$I$2, schedule[Finish Date],"&gt;="&amp;day_cash[[#This Row],[Date]]-$I$2)</f>
        <v>16102.328819105296</v>
      </c>
      <c r="J140" s="3">
        <f>SUM(day_cash[[#Headers],[Labor Cost]]:day_cash[[#This Row],[Labor Cost]])</f>
        <v>521035.07839489658</v>
      </c>
      <c r="K140" s="3">
        <f>SUM(day_cash[[#Headers],[Material Cost]]:day_cash[[#This Row],[Material Cost]])</f>
        <v>184348.59154929567</v>
      </c>
      <c r="L140" s="3">
        <f>SUM(day_cash[[#Headers],[Equipment Cost]]:day_cash[[#This Row],[Equipment Cost]])</f>
        <v>61584.905660377262</v>
      </c>
      <c r="M140" s="3">
        <f>SUM(day_cash[[#Headers],[Sub Cost]]:day_cash[[#This Row],[Sub Cost]])</f>
        <v>95758.513931888563</v>
      </c>
      <c r="N140" s="3">
        <f>SUM(day_cash[[#Headers],[Other Cost]]:day_cash[[#This Row],[Other Cost]])</f>
        <v>40889.937106918158</v>
      </c>
      <c r="O140" s="3">
        <f>SUM(day_cash[[#This Row],[Cumulative Labor]:[Cumulative Other]])</f>
        <v>903617.02664337622</v>
      </c>
      <c r="P140" s="3">
        <f>SUM(day_cash[[#Headers],[Revenue]]:day_cash[[#This Row],[Revenue]])</f>
        <v>525885.00433468237</v>
      </c>
    </row>
    <row r="141" spans="2:16" x14ac:dyDescent="0.45">
      <c r="B141" s="1">
        <v>46524</v>
      </c>
      <c r="C141" s="4">
        <f>SUMIFS(schedule[Labor CPP], schedule[Start Date],"&lt;="&amp;day_cash[[#This Row],[Date]], schedule[Finish Date],"&gt;="&amp;day_cash[[#This Row],[Date]])</f>
        <v>2844.8046771193194</v>
      </c>
      <c r="D141" s="4">
        <f>SUMIFS(schedule[Material CPP], schedule[Start Date],"&lt;="&amp;day_cash[[#This Row],[Date]]-$D$2, schedule[Finish Date],"&gt;="&amp;day_cash[[#This Row],[Date]]-$D$2)</f>
        <v>1373.2394366197184</v>
      </c>
      <c r="E141" s="4">
        <f>SUMIFS(schedule[Equipment CPP], schedule[Start Date],"&lt;="&amp;day_cash[[#This Row],[Date]]-$E$2, schedule[Finish Date],"&gt;="&amp;day_cash[[#This Row],[Date]]-$E$2)</f>
        <v>471.69811320754718</v>
      </c>
      <c r="F141" s="4">
        <f>SUMIFS(schedule[Sub CPP], schedule[Start Date],"&lt;="&amp;day_cash[[#This Row],[Date]]-$F$2, schedule[Finish Date],"&gt;="&amp;day_cash[[#This Row],[Date]]-$F$2)</f>
        <v>5758.5139318885449</v>
      </c>
      <c r="G141" s="3">
        <f>SUMIFS(schedule[Other CPP], schedule[Start Date],"&lt;="&amp;day_cash[[#This Row],[Date]]-$G$2, schedule[Finish Date],"&gt;="&amp;day_cash[[#This Row],[Date]]-$G$2)</f>
        <v>314.46540880503147</v>
      </c>
      <c r="H141" s="3">
        <f>SUM(day_cash[[#This Row],[Labor Cost]:[Other Cost]])</f>
        <v>10762.721567640163</v>
      </c>
      <c r="I141" s="3">
        <f>SUMIFS(schedule[Revenue per Day], schedule[Start Date],"&lt;="&amp;day_cash[[#This Row],[Date]]-$I$2, schedule[Finish Date],"&gt;="&amp;day_cash[[#This Row],[Date]]-$I$2)</f>
        <v>16102.328819105296</v>
      </c>
      <c r="J141" s="3">
        <f>SUM(day_cash[[#Headers],[Labor Cost]]:day_cash[[#This Row],[Labor Cost]])</f>
        <v>523879.88307201589</v>
      </c>
      <c r="K141" s="3">
        <f>SUM(day_cash[[#Headers],[Material Cost]]:day_cash[[#This Row],[Material Cost]])</f>
        <v>185721.83098591538</v>
      </c>
      <c r="L141" s="3">
        <f>SUM(day_cash[[#Headers],[Equipment Cost]]:day_cash[[#This Row],[Equipment Cost]])</f>
        <v>62056.603773584808</v>
      </c>
      <c r="M141" s="3">
        <f>SUM(day_cash[[#Headers],[Sub Cost]]:day_cash[[#This Row],[Sub Cost]])</f>
        <v>101517.02786377711</v>
      </c>
      <c r="N141" s="3">
        <f>SUM(day_cash[[#Headers],[Other Cost]]:day_cash[[#This Row],[Other Cost]])</f>
        <v>41204.402515723188</v>
      </c>
      <c r="O141" s="3">
        <f>SUM(day_cash[[#This Row],[Cumulative Labor]:[Cumulative Other]])</f>
        <v>914379.7482110163</v>
      </c>
      <c r="P141" s="3">
        <f>SUM(day_cash[[#Headers],[Revenue]]:day_cash[[#This Row],[Revenue]])</f>
        <v>541987.33315378765</v>
      </c>
    </row>
    <row r="142" spans="2:16" x14ac:dyDescent="0.45">
      <c r="B142" s="1">
        <v>46525</v>
      </c>
      <c r="C142" s="4">
        <f>SUMIFS(schedule[Labor CPP], schedule[Start Date],"&lt;="&amp;day_cash[[#This Row],[Date]], schedule[Finish Date],"&gt;="&amp;day_cash[[#This Row],[Date]])</f>
        <v>2844.8046771193194</v>
      </c>
      <c r="D142" s="4">
        <f>SUMIFS(schedule[Material CPP], schedule[Start Date],"&lt;="&amp;day_cash[[#This Row],[Date]]-$D$2, schedule[Finish Date],"&gt;="&amp;day_cash[[#This Row],[Date]]-$D$2)</f>
        <v>1373.2394366197184</v>
      </c>
      <c r="E142" s="4">
        <f>SUMIFS(schedule[Equipment CPP], schedule[Start Date],"&lt;="&amp;day_cash[[#This Row],[Date]]-$E$2, schedule[Finish Date],"&gt;="&amp;day_cash[[#This Row],[Date]]-$E$2)</f>
        <v>471.69811320754718</v>
      </c>
      <c r="F142" s="4">
        <f>SUMIFS(schedule[Sub CPP], schedule[Start Date],"&lt;="&amp;day_cash[[#This Row],[Date]]-$F$2, schedule[Finish Date],"&gt;="&amp;day_cash[[#This Row],[Date]]-$F$2)</f>
        <v>5758.5139318885449</v>
      </c>
      <c r="G142" s="3">
        <f>SUMIFS(schedule[Other CPP], schedule[Start Date],"&lt;="&amp;day_cash[[#This Row],[Date]]-$G$2, schedule[Finish Date],"&gt;="&amp;day_cash[[#This Row],[Date]]-$G$2)</f>
        <v>314.46540880503147</v>
      </c>
      <c r="H142" s="3">
        <f>SUM(day_cash[[#This Row],[Labor Cost]:[Other Cost]])</f>
        <v>10762.721567640163</v>
      </c>
      <c r="I142" s="3">
        <f>SUMIFS(schedule[Revenue per Day], schedule[Start Date],"&lt;="&amp;day_cash[[#This Row],[Date]]-$I$2, schedule[Finish Date],"&gt;="&amp;day_cash[[#This Row],[Date]]-$I$2)</f>
        <v>25782.328819105296</v>
      </c>
      <c r="J142" s="3">
        <f>SUM(day_cash[[#Headers],[Labor Cost]]:day_cash[[#This Row],[Labor Cost]])</f>
        <v>526724.68774913519</v>
      </c>
      <c r="K142" s="3">
        <f>SUM(day_cash[[#Headers],[Material Cost]]:day_cash[[#This Row],[Material Cost]])</f>
        <v>187095.07042253509</v>
      </c>
      <c r="L142" s="3">
        <f>SUM(day_cash[[#Headers],[Equipment Cost]]:day_cash[[#This Row],[Equipment Cost]])</f>
        <v>62528.301886792353</v>
      </c>
      <c r="M142" s="3">
        <f>SUM(day_cash[[#Headers],[Sub Cost]]:day_cash[[#This Row],[Sub Cost]])</f>
        <v>107275.54179566566</v>
      </c>
      <c r="N142" s="3">
        <f>SUM(day_cash[[#Headers],[Other Cost]]:day_cash[[#This Row],[Other Cost]])</f>
        <v>41518.867924528218</v>
      </c>
      <c r="O142" s="3">
        <f>SUM(day_cash[[#This Row],[Cumulative Labor]:[Cumulative Other]])</f>
        <v>925142.46977865649</v>
      </c>
      <c r="P142" s="3">
        <f>SUM(day_cash[[#Headers],[Revenue]]:day_cash[[#This Row],[Revenue]])</f>
        <v>567769.66197289294</v>
      </c>
    </row>
    <row r="143" spans="2:16" x14ac:dyDescent="0.45">
      <c r="B143" s="1">
        <v>46526</v>
      </c>
      <c r="C143" s="4">
        <f>SUMIFS(schedule[Labor CPP], schedule[Start Date],"&lt;="&amp;day_cash[[#This Row],[Date]], schedule[Finish Date],"&gt;="&amp;day_cash[[#This Row],[Date]])</f>
        <v>2844.8046771193194</v>
      </c>
      <c r="D143" s="4">
        <f>SUMIFS(schedule[Material CPP], schedule[Start Date],"&lt;="&amp;day_cash[[#This Row],[Date]]-$D$2, schedule[Finish Date],"&gt;="&amp;day_cash[[#This Row],[Date]]-$D$2)</f>
        <v>1373.2394366197184</v>
      </c>
      <c r="E143" s="4">
        <f>SUMIFS(schedule[Equipment CPP], schedule[Start Date],"&lt;="&amp;day_cash[[#This Row],[Date]]-$E$2, schedule[Finish Date],"&gt;="&amp;day_cash[[#This Row],[Date]]-$E$2)</f>
        <v>471.69811320754718</v>
      </c>
      <c r="F143" s="4">
        <f>SUMIFS(schedule[Sub CPP], schedule[Start Date],"&lt;="&amp;day_cash[[#This Row],[Date]]-$F$2, schedule[Finish Date],"&gt;="&amp;day_cash[[#This Row],[Date]]-$F$2)</f>
        <v>5758.5139318885449</v>
      </c>
      <c r="G143" s="3">
        <f>SUMIFS(schedule[Other CPP], schedule[Start Date],"&lt;="&amp;day_cash[[#This Row],[Date]]-$G$2, schedule[Finish Date],"&gt;="&amp;day_cash[[#This Row],[Date]]-$G$2)</f>
        <v>314.46540880503147</v>
      </c>
      <c r="H143" s="3">
        <f>SUM(day_cash[[#This Row],[Labor Cost]:[Other Cost]])</f>
        <v>10762.721567640163</v>
      </c>
      <c r="I143" s="3">
        <f>SUMIFS(schedule[Revenue per Day], schedule[Start Date],"&lt;="&amp;day_cash[[#This Row],[Date]]-$I$2, schedule[Finish Date],"&gt;="&amp;day_cash[[#This Row],[Date]]-$I$2)</f>
        <v>25782.328819105296</v>
      </c>
      <c r="J143" s="3">
        <f>SUM(day_cash[[#Headers],[Labor Cost]]:day_cash[[#This Row],[Labor Cost]])</f>
        <v>529569.49242625455</v>
      </c>
      <c r="K143" s="3">
        <f>SUM(day_cash[[#Headers],[Material Cost]]:day_cash[[#This Row],[Material Cost]])</f>
        <v>188468.3098591548</v>
      </c>
      <c r="L143" s="3">
        <f>SUM(day_cash[[#Headers],[Equipment Cost]]:day_cash[[#This Row],[Equipment Cost]])</f>
        <v>62999.999999999898</v>
      </c>
      <c r="M143" s="3">
        <f>SUM(day_cash[[#Headers],[Sub Cost]]:day_cash[[#This Row],[Sub Cost]])</f>
        <v>113034.05572755421</v>
      </c>
      <c r="N143" s="3">
        <f>SUM(day_cash[[#Headers],[Other Cost]]:day_cash[[#This Row],[Other Cost]])</f>
        <v>41833.333333333248</v>
      </c>
      <c r="O143" s="3">
        <f>SUM(day_cash[[#This Row],[Cumulative Labor]:[Cumulative Other]])</f>
        <v>935905.19134629669</v>
      </c>
      <c r="P143" s="3">
        <f>SUM(day_cash[[#Headers],[Revenue]]:day_cash[[#This Row],[Revenue]])</f>
        <v>593551.99079199822</v>
      </c>
    </row>
    <row r="144" spans="2:16" x14ac:dyDescent="0.45">
      <c r="B144" s="1">
        <v>46527</v>
      </c>
      <c r="C144" s="4">
        <f>SUMIFS(schedule[Labor CPP], schedule[Start Date],"&lt;="&amp;day_cash[[#This Row],[Date]], schedule[Finish Date],"&gt;="&amp;day_cash[[#This Row],[Date]])</f>
        <v>2844.8046771193194</v>
      </c>
      <c r="D144" s="4">
        <f>SUMIFS(schedule[Material CPP], schedule[Start Date],"&lt;="&amp;day_cash[[#This Row],[Date]]-$D$2, schedule[Finish Date],"&gt;="&amp;day_cash[[#This Row],[Date]]-$D$2)</f>
        <v>1373.2394366197184</v>
      </c>
      <c r="E144" s="4">
        <f>SUMIFS(schedule[Equipment CPP], schedule[Start Date],"&lt;="&amp;day_cash[[#This Row],[Date]]-$E$2, schedule[Finish Date],"&gt;="&amp;day_cash[[#This Row],[Date]]-$E$2)</f>
        <v>471.69811320754718</v>
      </c>
      <c r="F144" s="4">
        <f>SUMIFS(schedule[Sub CPP], schedule[Start Date],"&lt;="&amp;day_cash[[#This Row],[Date]]-$F$2, schedule[Finish Date],"&gt;="&amp;day_cash[[#This Row],[Date]]-$F$2)</f>
        <v>5758.5139318885449</v>
      </c>
      <c r="G144" s="3">
        <f>SUMIFS(schedule[Other CPP], schedule[Start Date],"&lt;="&amp;day_cash[[#This Row],[Date]]-$G$2, schedule[Finish Date],"&gt;="&amp;day_cash[[#This Row],[Date]]-$G$2)</f>
        <v>314.46540880503147</v>
      </c>
      <c r="H144" s="3">
        <f>SUM(day_cash[[#This Row],[Labor Cost]:[Other Cost]])</f>
        <v>10762.721567640163</v>
      </c>
      <c r="I144" s="3">
        <f>SUMIFS(schedule[Revenue per Day], schedule[Start Date],"&lt;="&amp;day_cash[[#This Row],[Date]]-$I$2, schedule[Finish Date],"&gt;="&amp;day_cash[[#This Row],[Date]]-$I$2)</f>
        <v>25782.328819105296</v>
      </c>
      <c r="J144" s="3">
        <f>SUM(day_cash[[#Headers],[Labor Cost]]:day_cash[[#This Row],[Labor Cost]])</f>
        <v>532414.29710337392</v>
      </c>
      <c r="K144" s="3">
        <f>SUM(day_cash[[#Headers],[Material Cost]]:day_cash[[#This Row],[Material Cost]])</f>
        <v>189841.54929577452</v>
      </c>
      <c r="L144" s="3">
        <f>SUM(day_cash[[#Headers],[Equipment Cost]]:day_cash[[#This Row],[Equipment Cost]])</f>
        <v>63471.698113207443</v>
      </c>
      <c r="M144" s="3">
        <f>SUM(day_cash[[#Headers],[Sub Cost]]:day_cash[[#This Row],[Sub Cost]])</f>
        <v>118792.56965944276</v>
      </c>
      <c r="N144" s="3">
        <f>SUM(day_cash[[#Headers],[Other Cost]]:day_cash[[#This Row],[Other Cost]])</f>
        <v>42147.798742138279</v>
      </c>
      <c r="O144" s="3">
        <f>SUM(day_cash[[#This Row],[Cumulative Labor]:[Cumulative Other]])</f>
        <v>946667.91291393701</v>
      </c>
      <c r="P144" s="3">
        <f>SUM(day_cash[[#Headers],[Revenue]]:day_cash[[#This Row],[Revenue]])</f>
        <v>619334.31961110351</v>
      </c>
    </row>
    <row r="145" spans="2:16" x14ac:dyDescent="0.45">
      <c r="B145" s="1">
        <v>46528</v>
      </c>
      <c r="C145" s="4">
        <f>SUMIFS(schedule[Labor CPP], schedule[Start Date],"&lt;="&amp;day_cash[[#This Row],[Date]], schedule[Finish Date],"&gt;="&amp;day_cash[[#This Row],[Date]])</f>
        <v>2844.8046771193194</v>
      </c>
      <c r="D145" s="4">
        <f>SUMIFS(schedule[Material CPP], schedule[Start Date],"&lt;="&amp;day_cash[[#This Row],[Date]]-$D$2, schedule[Finish Date],"&gt;="&amp;day_cash[[#This Row],[Date]]-$D$2)</f>
        <v>1373.2394366197184</v>
      </c>
      <c r="E145" s="4">
        <f>SUMIFS(schedule[Equipment CPP], schedule[Start Date],"&lt;="&amp;day_cash[[#This Row],[Date]]-$E$2, schedule[Finish Date],"&gt;="&amp;day_cash[[#This Row],[Date]]-$E$2)</f>
        <v>471.69811320754718</v>
      </c>
      <c r="F145" s="4">
        <f>SUMIFS(schedule[Sub CPP], schedule[Start Date],"&lt;="&amp;day_cash[[#This Row],[Date]]-$F$2, schedule[Finish Date],"&gt;="&amp;day_cash[[#This Row],[Date]]-$F$2)</f>
        <v>5758.5139318885449</v>
      </c>
      <c r="G145" s="3">
        <f>SUMIFS(schedule[Other CPP], schedule[Start Date],"&lt;="&amp;day_cash[[#This Row],[Date]]-$G$2, schedule[Finish Date],"&gt;="&amp;day_cash[[#This Row],[Date]]-$G$2)</f>
        <v>314.46540880503147</v>
      </c>
      <c r="H145" s="3">
        <f>SUM(day_cash[[#This Row],[Labor Cost]:[Other Cost]])</f>
        <v>10762.721567640163</v>
      </c>
      <c r="I145" s="3">
        <f>SUMIFS(schedule[Revenue per Day], schedule[Start Date],"&lt;="&amp;day_cash[[#This Row],[Date]]-$I$2, schedule[Finish Date],"&gt;="&amp;day_cash[[#This Row],[Date]]-$I$2)</f>
        <v>25782.328819105296</v>
      </c>
      <c r="J145" s="3">
        <f>SUM(day_cash[[#Headers],[Labor Cost]]:day_cash[[#This Row],[Labor Cost]])</f>
        <v>535259.10178049328</v>
      </c>
      <c r="K145" s="3">
        <f>SUM(day_cash[[#Headers],[Material Cost]]:day_cash[[#This Row],[Material Cost]])</f>
        <v>191214.78873239423</v>
      </c>
      <c r="L145" s="3">
        <f>SUM(day_cash[[#Headers],[Equipment Cost]]:day_cash[[#This Row],[Equipment Cost]])</f>
        <v>63943.396226414989</v>
      </c>
      <c r="M145" s="3">
        <f>SUM(day_cash[[#Headers],[Sub Cost]]:day_cash[[#This Row],[Sub Cost]])</f>
        <v>124551.08359133131</v>
      </c>
      <c r="N145" s="3">
        <f>SUM(day_cash[[#Headers],[Other Cost]]:day_cash[[#This Row],[Other Cost]])</f>
        <v>42462.264150943309</v>
      </c>
      <c r="O145" s="3">
        <f>SUM(day_cash[[#This Row],[Cumulative Labor]:[Cumulative Other]])</f>
        <v>957430.63448157697</v>
      </c>
      <c r="P145" s="3">
        <f>SUM(day_cash[[#Headers],[Revenue]]:day_cash[[#This Row],[Revenue]])</f>
        <v>645116.64843020879</v>
      </c>
    </row>
    <row r="146" spans="2:16" x14ac:dyDescent="0.45">
      <c r="B146" s="1">
        <v>46529</v>
      </c>
      <c r="C146" s="4">
        <f>SUMIFS(schedule[Labor CPP], schedule[Start Date],"&lt;="&amp;day_cash[[#This Row],[Date]], schedule[Finish Date],"&gt;="&amp;day_cash[[#This Row],[Date]])</f>
        <v>2844.8046771193194</v>
      </c>
      <c r="D146" s="4">
        <f>SUMIFS(schedule[Material CPP], schedule[Start Date],"&lt;="&amp;day_cash[[#This Row],[Date]]-$D$2, schedule[Finish Date],"&gt;="&amp;day_cash[[#This Row],[Date]]-$D$2)</f>
        <v>1373.2394366197184</v>
      </c>
      <c r="E146" s="4">
        <f>SUMIFS(schedule[Equipment CPP], schedule[Start Date],"&lt;="&amp;day_cash[[#This Row],[Date]]-$E$2, schedule[Finish Date],"&gt;="&amp;day_cash[[#This Row],[Date]]-$E$2)</f>
        <v>471.69811320754718</v>
      </c>
      <c r="F146" s="4">
        <f>SUMIFS(schedule[Sub CPP], schedule[Start Date],"&lt;="&amp;day_cash[[#This Row],[Date]]-$F$2, schedule[Finish Date],"&gt;="&amp;day_cash[[#This Row],[Date]]-$F$2)</f>
        <v>5758.5139318885449</v>
      </c>
      <c r="G146" s="3">
        <f>SUMIFS(schedule[Other CPP], schedule[Start Date],"&lt;="&amp;day_cash[[#This Row],[Date]]-$G$2, schedule[Finish Date],"&gt;="&amp;day_cash[[#This Row],[Date]]-$G$2)</f>
        <v>314.46540880503147</v>
      </c>
      <c r="H146" s="3">
        <f>SUM(day_cash[[#This Row],[Labor Cost]:[Other Cost]])</f>
        <v>10762.721567640163</v>
      </c>
      <c r="I146" s="3">
        <f>SUMIFS(schedule[Revenue per Day], schedule[Start Date],"&lt;="&amp;day_cash[[#This Row],[Date]]-$I$2, schedule[Finish Date],"&gt;="&amp;day_cash[[#This Row],[Date]]-$I$2)</f>
        <v>25782.328819105296</v>
      </c>
      <c r="J146" s="3">
        <f>SUM(day_cash[[#Headers],[Labor Cost]]:day_cash[[#This Row],[Labor Cost]])</f>
        <v>538103.90645761264</v>
      </c>
      <c r="K146" s="3">
        <f>SUM(day_cash[[#Headers],[Material Cost]]:day_cash[[#This Row],[Material Cost]])</f>
        <v>192588.02816901394</v>
      </c>
      <c r="L146" s="3">
        <f>SUM(day_cash[[#Headers],[Equipment Cost]]:day_cash[[#This Row],[Equipment Cost]])</f>
        <v>64415.094339622534</v>
      </c>
      <c r="M146" s="3">
        <f>SUM(day_cash[[#Headers],[Sub Cost]]:day_cash[[#This Row],[Sub Cost]])</f>
        <v>130309.59752321985</v>
      </c>
      <c r="N146" s="3">
        <f>SUM(day_cash[[#Headers],[Other Cost]]:day_cash[[#This Row],[Other Cost]])</f>
        <v>42776.729559748339</v>
      </c>
      <c r="O146" s="3">
        <f>SUM(day_cash[[#This Row],[Cumulative Labor]:[Cumulative Other]])</f>
        <v>968193.35604921728</v>
      </c>
      <c r="P146" s="3">
        <f>SUM(day_cash[[#Headers],[Revenue]]:day_cash[[#This Row],[Revenue]])</f>
        <v>670898.97724931408</v>
      </c>
    </row>
    <row r="147" spans="2:16" x14ac:dyDescent="0.45">
      <c r="B147" s="1">
        <v>46530</v>
      </c>
      <c r="C147" s="4">
        <f>SUMIFS(schedule[Labor CPP], schedule[Start Date],"&lt;="&amp;day_cash[[#This Row],[Date]], schedule[Finish Date],"&gt;="&amp;day_cash[[#This Row],[Date]])</f>
        <v>2844.8046771193194</v>
      </c>
      <c r="D147" s="4">
        <f>SUMIFS(schedule[Material CPP], schedule[Start Date],"&lt;="&amp;day_cash[[#This Row],[Date]]-$D$2, schedule[Finish Date],"&gt;="&amp;day_cash[[#This Row],[Date]]-$D$2)</f>
        <v>1373.2394366197184</v>
      </c>
      <c r="E147" s="4">
        <f>SUMIFS(schedule[Equipment CPP], schedule[Start Date],"&lt;="&amp;day_cash[[#This Row],[Date]]-$E$2, schedule[Finish Date],"&gt;="&amp;day_cash[[#This Row],[Date]]-$E$2)</f>
        <v>471.69811320754718</v>
      </c>
      <c r="F147" s="4">
        <f>SUMIFS(schedule[Sub CPP], schedule[Start Date],"&lt;="&amp;day_cash[[#This Row],[Date]]-$F$2, schedule[Finish Date],"&gt;="&amp;day_cash[[#This Row],[Date]]-$F$2)</f>
        <v>5758.5139318885449</v>
      </c>
      <c r="G147" s="3">
        <f>SUMIFS(schedule[Other CPP], schedule[Start Date],"&lt;="&amp;day_cash[[#This Row],[Date]]-$G$2, schedule[Finish Date],"&gt;="&amp;day_cash[[#This Row],[Date]]-$G$2)</f>
        <v>314.46540880503147</v>
      </c>
      <c r="H147" s="3">
        <f>SUM(day_cash[[#This Row],[Labor Cost]:[Other Cost]])</f>
        <v>10762.721567640163</v>
      </c>
      <c r="I147" s="3">
        <f>SUMIFS(schedule[Revenue per Day], schedule[Start Date],"&lt;="&amp;day_cash[[#This Row],[Date]]-$I$2, schedule[Finish Date],"&gt;="&amp;day_cash[[#This Row],[Date]]-$I$2)</f>
        <v>25782.328819105296</v>
      </c>
      <c r="J147" s="3">
        <f>SUM(day_cash[[#Headers],[Labor Cost]]:day_cash[[#This Row],[Labor Cost]])</f>
        <v>540948.711134732</v>
      </c>
      <c r="K147" s="3">
        <f>SUM(day_cash[[#Headers],[Material Cost]]:day_cash[[#This Row],[Material Cost]])</f>
        <v>193961.26760563365</v>
      </c>
      <c r="L147" s="3">
        <f>SUM(day_cash[[#Headers],[Equipment Cost]]:day_cash[[#This Row],[Equipment Cost]])</f>
        <v>64886.792452830079</v>
      </c>
      <c r="M147" s="3">
        <f>SUM(day_cash[[#Headers],[Sub Cost]]:day_cash[[#This Row],[Sub Cost]])</f>
        <v>136068.11145510839</v>
      </c>
      <c r="N147" s="3">
        <f>SUM(day_cash[[#Headers],[Other Cost]]:day_cash[[#This Row],[Other Cost]])</f>
        <v>43091.194968553369</v>
      </c>
      <c r="O147" s="3">
        <f>SUM(day_cash[[#This Row],[Cumulative Labor]:[Cumulative Other]])</f>
        <v>978956.0776168576</v>
      </c>
      <c r="P147" s="3">
        <f>SUM(day_cash[[#Headers],[Revenue]]:day_cash[[#This Row],[Revenue]])</f>
        <v>696681.30606841936</v>
      </c>
    </row>
    <row r="148" spans="2:16" x14ac:dyDescent="0.45">
      <c r="B148" s="1">
        <v>46531</v>
      </c>
      <c r="C148" s="4">
        <f>SUMIFS(schedule[Labor CPP], schedule[Start Date],"&lt;="&amp;day_cash[[#This Row],[Date]], schedule[Finish Date],"&gt;="&amp;day_cash[[#This Row],[Date]])</f>
        <v>2844.8046771193194</v>
      </c>
      <c r="D148" s="4">
        <f>SUMIFS(schedule[Material CPP], schedule[Start Date],"&lt;="&amp;day_cash[[#This Row],[Date]]-$D$2, schedule[Finish Date],"&gt;="&amp;day_cash[[#This Row],[Date]]-$D$2)</f>
        <v>1373.2394366197184</v>
      </c>
      <c r="E148" s="4">
        <f>SUMIFS(schedule[Equipment CPP], schedule[Start Date],"&lt;="&amp;day_cash[[#This Row],[Date]]-$E$2, schedule[Finish Date],"&gt;="&amp;day_cash[[#This Row],[Date]]-$E$2)</f>
        <v>471.69811320754718</v>
      </c>
      <c r="F148" s="4">
        <f>SUMIFS(schedule[Sub CPP], schedule[Start Date],"&lt;="&amp;day_cash[[#This Row],[Date]]-$F$2, schedule[Finish Date],"&gt;="&amp;day_cash[[#This Row],[Date]]-$F$2)</f>
        <v>5758.5139318885449</v>
      </c>
      <c r="G148" s="3">
        <f>SUMIFS(schedule[Other CPP], schedule[Start Date],"&lt;="&amp;day_cash[[#This Row],[Date]]-$G$2, schedule[Finish Date],"&gt;="&amp;day_cash[[#This Row],[Date]]-$G$2)</f>
        <v>314.46540880503147</v>
      </c>
      <c r="H148" s="3">
        <f>SUM(day_cash[[#This Row],[Labor Cost]:[Other Cost]])</f>
        <v>10762.721567640163</v>
      </c>
      <c r="I148" s="3">
        <f>SUMIFS(schedule[Revenue per Day], schedule[Start Date],"&lt;="&amp;day_cash[[#This Row],[Date]]-$I$2, schedule[Finish Date],"&gt;="&amp;day_cash[[#This Row],[Date]]-$I$2)</f>
        <v>25782.328819105296</v>
      </c>
      <c r="J148" s="3">
        <f>SUM(day_cash[[#Headers],[Labor Cost]]:day_cash[[#This Row],[Labor Cost]])</f>
        <v>543793.51581185136</v>
      </c>
      <c r="K148" s="3">
        <f>SUM(day_cash[[#Headers],[Material Cost]]:day_cash[[#This Row],[Material Cost]])</f>
        <v>195334.50704225336</v>
      </c>
      <c r="L148" s="3">
        <f>SUM(day_cash[[#Headers],[Equipment Cost]]:day_cash[[#This Row],[Equipment Cost]])</f>
        <v>65358.490566037624</v>
      </c>
      <c r="M148" s="3">
        <f>SUM(day_cash[[#Headers],[Sub Cost]]:day_cash[[#This Row],[Sub Cost]])</f>
        <v>141826.62538699692</v>
      </c>
      <c r="N148" s="3">
        <f>SUM(day_cash[[#Headers],[Other Cost]]:day_cash[[#This Row],[Other Cost]])</f>
        <v>43405.660377358399</v>
      </c>
      <c r="O148" s="3">
        <f>SUM(day_cash[[#This Row],[Cumulative Labor]:[Cumulative Other]])</f>
        <v>989718.79918449768</v>
      </c>
      <c r="P148" s="3">
        <f>SUM(day_cash[[#Headers],[Revenue]]:day_cash[[#This Row],[Revenue]])</f>
        <v>722463.63488752465</v>
      </c>
    </row>
    <row r="149" spans="2:16" x14ac:dyDescent="0.45">
      <c r="B149" s="1">
        <v>46532</v>
      </c>
      <c r="C149" s="4">
        <f>SUMIFS(schedule[Labor CPP], schedule[Start Date],"&lt;="&amp;day_cash[[#This Row],[Date]], schedule[Finish Date],"&gt;="&amp;day_cash[[#This Row],[Date]])</f>
        <v>2844.8046771193194</v>
      </c>
      <c r="D149" s="4">
        <f>SUMIFS(schedule[Material CPP], schedule[Start Date],"&lt;="&amp;day_cash[[#This Row],[Date]]-$D$2, schedule[Finish Date],"&gt;="&amp;day_cash[[#This Row],[Date]]-$D$2)</f>
        <v>1373.2394366197184</v>
      </c>
      <c r="E149" s="4">
        <f>SUMIFS(schedule[Equipment CPP], schedule[Start Date],"&lt;="&amp;day_cash[[#This Row],[Date]]-$E$2, schedule[Finish Date],"&gt;="&amp;day_cash[[#This Row],[Date]]-$E$2)</f>
        <v>471.69811320754718</v>
      </c>
      <c r="F149" s="4">
        <f>SUMIFS(schedule[Sub CPP], schedule[Start Date],"&lt;="&amp;day_cash[[#This Row],[Date]]-$F$2, schedule[Finish Date],"&gt;="&amp;day_cash[[#This Row],[Date]]-$F$2)</f>
        <v>5758.5139318885449</v>
      </c>
      <c r="G149" s="3">
        <f>SUMIFS(schedule[Other CPP], schedule[Start Date],"&lt;="&amp;day_cash[[#This Row],[Date]]-$G$2, schedule[Finish Date],"&gt;="&amp;day_cash[[#This Row],[Date]]-$G$2)</f>
        <v>314.46540880503147</v>
      </c>
      <c r="H149" s="3">
        <f>SUM(day_cash[[#This Row],[Labor Cost]:[Other Cost]])</f>
        <v>10762.721567640163</v>
      </c>
      <c r="I149" s="3">
        <f>SUMIFS(schedule[Revenue per Day], schedule[Start Date],"&lt;="&amp;day_cash[[#This Row],[Date]]-$I$2, schedule[Finish Date],"&gt;="&amp;day_cash[[#This Row],[Date]]-$I$2)</f>
        <v>25782.328819105296</v>
      </c>
      <c r="J149" s="3">
        <f>SUM(day_cash[[#Headers],[Labor Cost]]:day_cash[[#This Row],[Labor Cost]])</f>
        <v>546638.32048897073</v>
      </c>
      <c r="K149" s="3">
        <f>SUM(day_cash[[#Headers],[Material Cost]]:day_cash[[#This Row],[Material Cost]])</f>
        <v>196707.74647887307</v>
      </c>
      <c r="L149" s="3">
        <f>SUM(day_cash[[#Headers],[Equipment Cost]]:day_cash[[#This Row],[Equipment Cost]])</f>
        <v>65830.18867924517</v>
      </c>
      <c r="M149" s="3">
        <f>SUM(day_cash[[#Headers],[Sub Cost]]:day_cash[[#This Row],[Sub Cost]])</f>
        <v>147585.13931888546</v>
      </c>
      <c r="N149" s="3">
        <f>SUM(day_cash[[#Headers],[Other Cost]]:day_cash[[#This Row],[Other Cost]])</f>
        <v>43720.125786163429</v>
      </c>
      <c r="O149" s="3">
        <f>SUM(day_cash[[#This Row],[Cumulative Labor]:[Cumulative Other]])</f>
        <v>1000481.5207521378</v>
      </c>
      <c r="P149" s="3">
        <f>SUM(day_cash[[#Headers],[Revenue]]:day_cash[[#This Row],[Revenue]])</f>
        <v>748245.96370662993</v>
      </c>
    </row>
    <row r="150" spans="2:16" x14ac:dyDescent="0.45">
      <c r="B150" s="1">
        <v>46533</v>
      </c>
      <c r="C150" s="4">
        <f>SUMIFS(schedule[Labor CPP], schedule[Start Date],"&lt;="&amp;day_cash[[#This Row],[Date]], schedule[Finish Date],"&gt;="&amp;day_cash[[#This Row],[Date]])</f>
        <v>2844.8046771193194</v>
      </c>
      <c r="D150" s="4">
        <f>SUMIFS(schedule[Material CPP], schedule[Start Date],"&lt;="&amp;day_cash[[#This Row],[Date]]-$D$2, schedule[Finish Date],"&gt;="&amp;day_cash[[#This Row],[Date]]-$D$2)</f>
        <v>1373.2394366197184</v>
      </c>
      <c r="E150" s="4">
        <f>SUMIFS(schedule[Equipment CPP], schedule[Start Date],"&lt;="&amp;day_cash[[#This Row],[Date]]-$E$2, schedule[Finish Date],"&gt;="&amp;day_cash[[#This Row],[Date]]-$E$2)</f>
        <v>471.69811320754718</v>
      </c>
      <c r="F150" s="4">
        <f>SUMIFS(schedule[Sub CPP], schedule[Start Date],"&lt;="&amp;day_cash[[#This Row],[Date]]-$F$2, schedule[Finish Date],"&gt;="&amp;day_cash[[#This Row],[Date]]-$F$2)</f>
        <v>5758.5139318885449</v>
      </c>
      <c r="G150" s="3">
        <f>SUMIFS(schedule[Other CPP], schedule[Start Date],"&lt;="&amp;day_cash[[#This Row],[Date]]-$G$2, schedule[Finish Date],"&gt;="&amp;day_cash[[#This Row],[Date]]-$G$2)</f>
        <v>314.46540880503147</v>
      </c>
      <c r="H150" s="3">
        <f>SUM(day_cash[[#This Row],[Labor Cost]:[Other Cost]])</f>
        <v>10762.721567640163</v>
      </c>
      <c r="I150" s="3">
        <f>SUMIFS(schedule[Revenue per Day], schedule[Start Date],"&lt;="&amp;day_cash[[#This Row],[Date]]-$I$2, schedule[Finish Date],"&gt;="&amp;day_cash[[#This Row],[Date]]-$I$2)</f>
        <v>25782.328819105296</v>
      </c>
      <c r="J150" s="3">
        <f>SUM(day_cash[[#Headers],[Labor Cost]]:day_cash[[#This Row],[Labor Cost]])</f>
        <v>549483.12516609009</v>
      </c>
      <c r="K150" s="3">
        <f>SUM(day_cash[[#Headers],[Material Cost]]:day_cash[[#This Row],[Material Cost]])</f>
        <v>198080.98591549278</v>
      </c>
      <c r="L150" s="3">
        <f>SUM(day_cash[[#Headers],[Equipment Cost]]:day_cash[[#This Row],[Equipment Cost]])</f>
        <v>66301.886792452715</v>
      </c>
      <c r="M150" s="3">
        <f>SUM(day_cash[[#Headers],[Sub Cost]]:day_cash[[#This Row],[Sub Cost]])</f>
        <v>153343.65325077399</v>
      </c>
      <c r="N150" s="3">
        <f>SUM(day_cash[[#Headers],[Other Cost]]:day_cash[[#This Row],[Other Cost]])</f>
        <v>44034.59119496846</v>
      </c>
      <c r="O150" s="3">
        <f>SUM(day_cash[[#This Row],[Cumulative Labor]:[Cumulative Other]])</f>
        <v>1011244.242319778</v>
      </c>
      <c r="P150" s="3">
        <f>SUM(day_cash[[#Headers],[Revenue]]:day_cash[[#This Row],[Revenue]])</f>
        <v>774028.29252573522</v>
      </c>
    </row>
    <row r="151" spans="2:16" x14ac:dyDescent="0.45">
      <c r="B151" s="1">
        <v>46534</v>
      </c>
      <c r="C151" s="4">
        <f>SUMIFS(schedule[Labor CPP], schedule[Start Date],"&lt;="&amp;day_cash[[#This Row],[Date]], schedule[Finish Date],"&gt;="&amp;day_cash[[#This Row],[Date]])</f>
        <v>2844.8046771193194</v>
      </c>
      <c r="D151" s="4">
        <f>SUMIFS(schedule[Material CPP], schedule[Start Date],"&lt;="&amp;day_cash[[#This Row],[Date]]-$D$2, schedule[Finish Date],"&gt;="&amp;day_cash[[#This Row],[Date]]-$D$2)</f>
        <v>1373.2394366197184</v>
      </c>
      <c r="E151" s="4">
        <f>SUMIFS(schedule[Equipment CPP], schedule[Start Date],"&lt;="&amp;day_cash[[#This Row],[Date]]-$E$2, schedule[Finish Date],"&gt;="&amp;day_cash[[#This Row],[Date]]-$E$2)</f>
        <v>471.69811320754718</v>
      </c>
      <c r="F151" s="4">
        <f>SUMIFS(schedule[Sub CPP], schedule[Start Date],"&lt;="&amp;day_cash[[#This Row],[Date]]-$F$2, schedule[Finish Date],"&gt;="&amp;day_cash[[#This Row],[Date]]-$F$2)</f>
        <v>5758.5139318885449</v>
      </c>
      <c r="G151" s="3">
        <f>SUMIFS(schedule[Other CPP], schedule[Start Date],"&lt;="&amp;day_cash[[#This Row],[Date]]-$G$2, schedule[Finish Date],"&gt;="&amp;day_cash[[#This Row],[Date]]-$G$2)</f>
        <v>314.46540880503147</v>
      </c>
      <c r="H151" s="3">
        <f>SUM(day_cash[[#This Row],[Labor Cost]:[Other Cost]])</f>
        <v>10762.721567640163</v>
      </c>
      <c r="I151" s="3">
        <f>SUMIFS(schedule[Revenue per Day], schedule[Start Date],"&lt;="&amp;day_cash[[#This Row],[Date]]-$I$2, schedule[Finish Date],"&gt;="&amp;day_cash[[#This Row],[Date]]-$I$2)</f>
        <v>25782.328819105296</v>
      </c>
      <c r="J151" s="3">
        <f>SUM(day_cash[[#Headers],[Labor Cost]]:day_cash[[#This Row],[Labor Cost]])</f>
        <v>552327.92984320945</v>
      </c>
      <c r="K151" s="3">
        <f>SUM(day_cash[[#Headers],[Material Cost]]:day_cash[[#This Row],[Material Cost]])</f>
        <v>199454.22535211249</v>
      </c>
      <c r="L151" s="3">
        <f>SUM(day_cash[[#Headers],[Equipment Cost]]:day_cash[[#This Row],[Equipment Cost]])</f>
        <v>66773.58490566026</v>
      </c>
      <c r="M151" s="3">
        <f>SUM(day_cash[[#Headers],[Sub Cost]]:day_cash[[#This Row],[Sub Cost]])</f>
        <v>159102.16718266252</v>
      </c>
      <c r="N151" s="3">
        <f>SUM(day_cash[[#Headers],[Other Cost]]:day_cash[[#This Row],[Other Cost]])</f>
        <v>44349.05660377349</v>
      </c>
      <c r="O151" s="3">
        <f>SUM(day_cash[[#This Row],[Cumulative Labor]:[Cumulative Other]])</f>
        <v>1022006.9638874182</v>
      </c>
      <c r="P151" s="3">
        <f>SUM(day_cash[[#Headers],[Revenue]]:day_cash[[#This Row],[Revenue]])</f>
        <v>799810.6213448405</v>
      </c>
    </row>
    <row r="152" spans="2:16" x14ac:dyDescent="0.45">
      <c r="B152" s="1">
        <v>46535</v>
      </c>
      <c r="C152" s="4">
        <f>SUMIFS(schedule[Labor CPP], schedule[Start Date],"&lt;="&amp;day_cash[[#This Row],[Date]], schedule[Finish Date],"&gt;="&amp;day_cash[[#This Row],[Date]])</f>
        <v>2844.8046771193194</v>
      </c>
      <c r="D152" s="4">
        <f>SUMIFS(schedule[Material CPP], schedule[Start Date],"&lt;="&amp;day_cash[[#This Row],[Date]]-$D$2, schedule[Finish Date],"&gt;="&amp;day_cash[[#This Row],[Date]]-$D$2)</f>
        <v>1373.2394366197184</v>
      </c>
      <c r="E152" s="4">
        <f>SUMIFS(schedule[Equipment CPP], schedule[Start Date],"&lt;="&amp;day_cash[[#This Row],[Date]]-$E$2, schedule[Finish Date],"&gt;="&amp;day_cash[[#This Row],[Date]]-$E$2)</f>
        <v>471.69811320754718</v>
      </c>
      <c r="F152" s="4">
        <f>SUMIFS(schedule[Sub CPP], schedule[Start Date],"&lt;="&amp;day_cash[[#This Row],[Date]]-$F$2, schedule[Finish Date],"&gt;="&amp;day_cash[[#This Row],[Date]]-$F$2)</f>
        <v>5758.5139318885449</v>
      </c>
      <c r="G152" s="3">
        <f>SUMIFS(schedule[Other CPP], schedule[Start Date],"&lt;="&amp;day_cash[[#This Row],[Date]]-$G$2, schedule[Finish Date],"&gt;="&amp;day_cash[[#This Row],[Date]]-$G$2)</f>
        <v>314.46540880503147</v>
      </c>
      <c r="H152" s="3">
        <f>SUM(day_cash[[#This Row],[Labor Cost]:[Other Cost]])</f>
        <v>10762.721567640163</v>
      </c>
      <c r="I152" s="3">
        <f>SUMIFS(schedule[Revenue per Day], schedule[Start Date],"&lt;="&amp;day_cash[[#This Row],[Date]]-$I$2, schedule[Finish Date],"&gt;="&amp;day_cash[[#This Row],[Date]]-$I$2)</f>
        <v>25782.328819105296</v>
      </c>
      <c r="J152" s="3">
        <f>SUM(day_cash[[#Headers],[Labor Cost]]:day_cash[[#This Row],[Labor Cost]])</f>
        <v>555172.73452032881</v>
      </c>
      <c r="K152" s="3">
        <f>SUM(day_cash[[#Headers],[Material Cost]]:day_cash[[#This Row],[Material Cost]])</f>
        <v>200827.46478873221</v>
      </c>
      <c r="L152" s="3">
        <f>SUM(day_cash[[#Headers],[Equipment Cost]]:day_cash[[#This Row],[Equipment Cost]])</f>
        <v>67245.283018867805</v>
      </c>
      <c r="M152" s="3">
        <f>SUM(day_cash[[#Headers],[Sub Cost]]:day_cash[[#This Row],[Sub Cost]])</f>
        <v>164860.68111455106</v>
      </c>
      <c r="N152" s="3">
        <f>SUM(day_cash[[#Headers],[Other Cost]]:day_cash[[#This Row],[Other Cost]])</f>
        <v>44663.52201257852</v>
      </c>
      <c r="O152" s="3">
        <f>SUM(day_cash[[#This Row],[Cumulative Labor]:[Cumulative Other]])</f>
        <v>1032769.6854550585</v>
      </c>
      <c r="P152" s="3">
        <f>SUM(day_cash[[#Headers],[Revenue]]:day_cash[[#This Row],[Revenue]])</f>
        <v>825592.95016394579</v>
      </c>
    </row>
    <row r="153" spans="2:16" x14ac:dyDescent="0.45">
      <c r="B153" s="1">
        <v>46536</v>
      </c>
      <c r="C153" s="4">
        <f>SUMIFS(schedule[Labor CPP], schedule[Start Date],"&lt;="&amp;day_cash[[#This Row],[Date]], schedule[Finish Date],"&gt;="&amp;day_cash[[#This Row],[Date]])</f>
        <v>2844.8046771193194</v>
      </c>
      <c r="D153" s="4">
        <f>SUMIFS(schedule[Material CPP], schedule[Start Date],"&lt;="&amp;day_cash[[#This Row],[Date]]-$D$2, schedule[Finish Date],"&gt;="&amp;day_cash[[#This Row],[Date]]-$D$2)</f>
        <v>1373.2394366197184</v>
      </c>
      <c r="E153" s="4">
        <f>SUMIFS(schedule[Equipment CPP], schedule[Start Date],"&lt;="&amp;day_cash[[#This Row],[Date]]-$E$2, schedule[Finish Date],"&gt;="&amp;day_cash[[#This Row],[Date]]-$E$2)</f>
        <v>471.69811320754718</v>
      </c>
      <c r="F153" s="4">
        <f>SUMIFS(schedule[Sub CPP], schedule[Start Date],"&lt;="&amp;day_cash[[#This Row],[Date]]-$F$2, schedule[Finish Date],"&gt;="&amp;day_cash[[#This Row],[Date]]-$F$2)</f>
        <v>5758.5139318885449</v>
      </c>
      <c r="G153" s="3">
        <f>SUMIFS(schedule[Other CPP], schedule[Start Date],"&lt;="&amp;day_cash[[#This Row],[Date]]-$G$2, schedule[Finish Date],"&gt;="&amp;day_cash[[#This Row],[Date]]-$G$2)</f>
        <v>314.46540880503147</v>
      </c>
      <c r="H153" s="3">
        <f>SUM(day_cash[[#This Row],[Labor Cost]:[Other Cost]])</f>
        <v>10762.721567640163</v>
      </c>
      <c r="I153" s="3">
        <f>SUMIFS(schedule[Revenue per Day], schedule[Start Date],"&lt;="&amp;day_cash[[#This Row],[Date]]-$I$2, schedule[Finish Date],"&gt;="&amp;day_cash[[#This Row],[Date]]-$I$2)</f>
        <v>25782.328819105296</v>
      </c>
      <c r="J153" s="3">
        <f>SUM(day_cash[[#Headers],[Labor Cost]]:day_cash[[#This Row],[Labor Cost]])</f>
        <v>558017.53919744818</v>
      </c>
      <c r="K153" s="3">
        <f>SUM(day_cash[[#Headers],[Material Cost]]:day_cash[[#This Row],[Material Cost]])</f>
        <v>202200.70422535192</v>
      </c>
      <c r="L153" s="3">
        <f>SUM(day_cash[[#Headers],[Equipment Cost]]:day_cash[[#This Row],[Equipment Cost]])</f>
        <v>67716.981132075351</v>
      </c>
      <c r="M153" s="3">
        <f>SUM(day_cash[[#Headers],[Sub Cost]]:day_cash[[#This Row],[Sub Cost]])</f>
        <v>170619.19504643959</v>
      </c>
      <c r="N153" s="3">
        <f>SUM(day_cash[[#Headers],[Other Cost]]:day_cash[[#This Row],[Other Cost]])</f>
        <v>44977.98742138355</v>
      </c>
      <c r="O153" s="3">
        <f>SUM(day_cash[[#This Row],[Cumulative Labor]:[Cumulative Other]])</f>
        <v>1043532.4070226984</v>
      </c>
      <c r="P153" s="3">
        <f>SUM(day_cash[[#Headers],[Revenue]]:day_cash[[#This Row],[Revenue]])</f>
        <v>851375.27898305107</v>
      </c>
    </row>
    <row r="154" spans="2:16" x14ac:dyDescent="0.45">
      <c r="B154" s="1">
        <v>46537</v>
      </c>
      <c r="C154" s="4">
        <f>SUMIFS(schedule[Labor CPP], schedule[Start Date],"&lt;="&amp;day_cash[[#This Row],[Date]], schedule[Finish Date],"&gt;="&amp;day_cash[[#This Row],[Date]])</f>
        <v>2844.8046771193194</v>
      </c>
      <c r="D154" s="4">
        <f>SUMIFS(schedule[Material CPP], schedule[Start Date],"&lt;="&amp;day_cash[[#This Row],[Date]]-$D$2, schedule[Finish Date],"&gt;="&amp;day_cash[[#This Row],[Date]]-$D$2)</f>
        <v>1373.2394366197184</v>
      </c>
      <c r="E154" s="4">
        <f>SUMIFS(schedule[Equipment CPP], schedule[Start Date],"&lt;="&amp;day_cash[[#This Row],[Date]]-$E$2, schedule[Finish Date],"&gt;="&amp;day_cash[[#This Row],[Date]]-$E$2)</f>
        <v>471.69811320754718</v>
      </c>
      <c r="F154" s="4">
        <f>SUMIFS(schedule[Sub CPP], schedule[Start Date],"&lt;="&amp;day_cash[[#This Row],[Date]]-$F$2, schedule[Finish Date],"&gt;="&amp;day_cash[[#This Row],[Date]]-$F$2)</f>
        <v>5758.5139318885449</v>
      </c>
      <c r="G154" s="3">
        <f>SUMIFS(schedule[Other CPP], schedule[Start Date],"&lt;="&amp;day_cash[[#This Row],[Date]]-$G$2, schedule[Finish Date],"&gt;="&amp;day_cash[[#This Row],[Date]]-$G$2)</f>
        <v>314.46540880503147</v>
      </c>
      <c r="H154" s="3">
        <f>SUM(day_cash[[#This Row],[Labor Cost]:[Other Cost]])</f>
        <v>10762.721567640163</v>
      </c>
      <c r="I154" s="3">
        <f>SUMIFS(schedule[Revenue per Day], schedule[Start Date],"&lt;="&amp;day_cash[[#This Row],[Date]]-$I$2, schedule[Finish Date],"&gt;="&amp;day_cash[[#This Row],[Date]]-$I$2)</f>
        <v>25782.328819105296</v>
      </c>
      <c r="J154" s="3">
        <f>SUM(day_cash[[#Headers],[Labor Cost]]:day_cash[[#This Row],[Labor Cost]])</f>
        <v>560862.34387456754</v>
      </c>
      <c r="K154" s="3">
        <f>SUM(day_cash[[#Headers],[Material Cost]]:day_cash[[#This Row],[Material Cost]])</f>
        <v>203573.94366197163</v>
      </c>
      <c r="L154" s="3">
        <f>SUM(day_cash[[#Headers],[Equipment Cost]]:day_cash[[#This Row],[Equipment Cost]])</f>
        <v>68188.679245282896</v>
      </c>
      <c r="M154" s="3">
        <f>SUM(day_cash[[#Headers],[Sub Cost]]:day_cash[[#This Row],[Sub Cost]])</f>
        <v>176377.70897832813</v>
      </c>
      <c r="N154" s="3">
        <f>SUM(day_cash[[#Headers],[Other Cost]]:day_cash[[#This Row],[Other Cost]])</f>
        <v>45292.45283018858</v>
      </c>
      <c r="O154" s="3">
        <f>SUM(day_cash[[#This Row],[Cumulative Labor]:[Cumulative Other]])</f>
        <v>1054295.1285903389</v>
      </c>
      <c r="P154" s="3">
        <f>SUM(day_cash[[#Headers],[Revenue]]:day_cash[[#This Row],[Revenue]])</f>
        <v>877157.60780215636</v>
      </c>
    </row>
    <row r="155" spans="2:16" x14ac:dyDescent="0.45">
      <c r="B155" s="1">
        <v>46538</v>
      </c>
      <c r="C155" s="4">
        <f>SUMIFS(schedule[Labor CPP], schedule[Start Date],"&lt;="&amp;day_cash[[#This Row],[Date]], schedule[Finish Date],"&gt;="&amp;day_cash[[#This Row],[Date]])</f>
        <v>2844.8046771193194</v>
      </c>
      <c r="D155" s="4">
        <f>SUMIFS(schedule[Material CPP], schedule[Start Date],"&lt;="&amp;day_cash[[#This Row],[Date]]-$D$2, schedule[Finish Date],"&gt;="&amp;day_cash[[#This Row],[Date]]-$D$2)</f>
        <v>1373.2394366197184</v>
      </c>
      <c r="E155" s="4">
        <f>SUMIFS(schedule[Equipment CPP], schedule[Start Date],"&lt;="&amp;day_cash[[#This Row],[Date]]-$E$2, schedule[Finish Date],"&gt;="&amp;day_cash[[#This Row],[Date]]-$E$2)</f>
        <v>471.69811320754718</v>
      </c>
      <c r="F155" s="4">
        <f>SUMIFS(schedule[Sub CPP], schedule[Start Date],"&lt;="&amp;day_cash[[#This Row],[Date]]-$F$2, schedule[Finish Date],"&gt;="&amp;day_cash[[#This Row],[Date]]-$F$2)</f>
        <v>5758.5139318885449</v>
      </c>
      <c r="G155" s="3">
        <f>SUMIFS(schedule[Other CPP], schedule[Start Date],"&lt;="&amp;day_cash[[#This Row],[Date]]-$G$2, schedule[Finish Date],"&gt;="&amp;day_cash[[#This Row],[Date]]-$G$2)</f>
        <v>314.46540880503147</v>
      </c>
      <c r="H155" s="3">
        <f>SUM(day_cash[[#This Row],[Labor Cost]:[Other Cost]])</f>
        <v>10762.721567640163</v>
      </c>
      <c r="I155" s="3">
        <f>SUMIFS(schedule[Revenue per Day], schedule[Start Date],"&lt;="&amp;day_cash[[#This Row],[Date]]-$I$2, schedule[Finish Date],"&gt;="&amp;day_cash[[#This Row],[Date]]-$I$2)</f>
        <v>25782.328819105296</v>
      </c>
      <c r="J155" s="3">
        <f>SUM(day_cash[[#Headers],[Labor Cost]]:day_cash[[#This Row],[Labor Cost]])</f>
        <v>563707.1485516869</v>
      </c>
      <c r="K155" s="3">
        <f>SUM(day_cash[[#Headers],[Material Cost]]:day_cash[[#This Row],[Material Cost]])</f>
        <v>204947.18309859134</v>
      </c>
      <c r="L155" s="3">
        <f>SUM(day_cash[[#Headers],[Equipment Cost]]:day_cash[[#This Row],[Equipment Cost]])</f>
        <v>68660.377358490441</v>
      </c>
      <c r="M155" s="3">
        <f>SUM(day_cash[[#Headers],[Sub Cost]]:day_cash[[#This Row],[Sub Cost]])</f>
        <v>182136.22291021666</v>
      </c>
      <c r="N155" s="3">
        <f>SUM(day_cash[[#Headers],[Other Cost]]:day_cash[[#This Row],[Other Cost]])</f>
        <v>45606.91823899361</v>
      </c>
      <c r="O155" s="3">
        <f>SUM(day_cash[[#This Row],[Cumulative Labor]:[Cumulative Other]])</f>
        <v>1065057.8501579789</v>
      </c>
      <c r="P155" s="3">
        <f>SUM(day_cash[[#Headers],[Revenue]]:day_cash[[#This Row],[Revenue]])</f>
        <v>902939.93662126164</v>
      </c>
    </row>
    <row r="156" spans="2:16" x14ac:dyDescent="0.45">
      <c r="B156" s="1">
        <v>46539</v>
      </c>
      <c r="C156" s="4">
        <f>SUMIFS(schedule[Labor CPP], schedule[Start Date],"&lt;="&amp;day_cash[[#This Row],[Date]], schedule[Finish Date],"&gt;="&amp;day_cash[[#This Row],[Date]])</f>
        <v>2844.8046771193194</v>
      </c>
      <c r="D156" s="4">
        <f>SUMIFS(schedule[Material CPP], schedule[Start Date],"&lt;="&amp;day_cash[[#This Row],[Date]]-$D$2, schedule[Finish Date],"&gt;="&amp;day_cash[[#This Row],[Date]]-$D$2)</f>
        <v>1373.2394366197184</v>
      </c>
      <c r="E156" s="4">
        <f>SUMIFS(schedule[Equipment CPP], schedule[Start Date],"&lt;="&amp;day_cash[[#This Row],[Date]]-$E$2, schedule[Finish Date],"&gt;="&amp;day_cash[[#This Row],[Date]]-$E$2)</f>
        <v>471.69811320754718</v>
      </c>
      <c r="F156" s="4">
        <f>SUMIFS(schedule[Sub CPP], schedule[Start Date],"&lt;="&amp;day_cash[[#This Row],[Date]]-$F$2, schedule[Finish Date],"&gt;="&amp;day_cash[[#This Row],[Date]]-$F$2)</f>
        <v>7695.1336501984042</v>
      </c>
      <c r="G156" s="3">
        <f>SUMIFS(schedule[Other CPP], schedule[Start Date],"&lt;="&amp;day_cash[[#This Row],[Date]]-$G$2, schedule[Finish Date],"&gt;="&amp;day_cash[[#This Row],[Date]]-$G$2)</f>
        <v>314.46540880503147</v>
      </c>
      <c r="H156" s="3">
        <f>SUM(day_cash[[#This Row],[Labor Cost]:[Other Cost]])</f>
        <v>12699.341285950022</v>
      </c>
      <c r="I156" s="3">
        <f>SUMIFS(schedule[Revenue per Day], schedule[Start Date],"&lt;="&amp;day_cash[[#This Row],[Date]]-$I$2, schedule[Finish Date],"&gt;="&amp;day_cash[[#This Row],[Date]]-$I$2)</f>
        <v>32035.849945865859</v>
      </c>
      <c r="J156" s="3">
        <f>SUM(day_cash[[#Headers],[Labor Cost]]:day_cash[[#This Row],[Labor Cost]])</f>
        <v>566551.95322880626</v>
      </c>
      <c r="K156" s="3">
        <f>SUM(day_cash[[#Headers],[Material Cost]]:day_cash[[#This Row],[Material Cost]])</f>
        <v>206320.42253521105</v>
      </c>
      <c r="L156" s="3">
        <f>SUM(day_cash[[#Headers],[Equipment Cost]]:day_cash[[#This Row],[Equipment Cost]])</f>
        <v>69132.075471697986</v>
      </c>
      <c r="M156" s="3">
        <f>SUM(day_cash[[#Headers],[Sub Cost]]:day_cash[[#This Row],[Sub Cost]])</f>
        <v>189831.35656041506</v>
      </c>
      <c r="N156" s="3">
        <f>SUM(day_cash[[#Headers],[Other Cost]]:day_cash[[#This Row],[Other Cost]])</f>
        <v>45921.383647798641</v>
      </c>
      <c r="O156" s="3">
        <f>SUM(day_cash[[#This Row],[Cumulative Labor]:[Cumulative Other]])</f>
        <v>1077757.191443929</v>
      </c>
      <c r="P156" s="3">
        <f>SUM(day_cash[[#Headers],[Revenue]]:day_cash[[#This Row],[Revenue]])</f>
        <v>934975.78656712745</v>
      </c>
    </row>
    <row r="157" spans="2:16" x14ac:dyDescent="0.45">
      <c r="B157" s="1">
        <v>46540</v>
      </c>
      <c r="C157" s="4">
        <f>SUMIFS(schedule[Labor CPP], schedule[Start Date],"&lt;="&amp;day_cash[[#This Row],[Date]], schedule[Finish Date],"&gt;="&amp;day_cash[[#This Row],[Date]])</f>
        <v>2844.8046771193194</v>
      </c>
      <c r="D157" s="4">
        <f>SUMIFS(schedule[Material CPP], schedule[Start Date],"&lt;="&amp;day_cash[[#This Row],[Date]]-$D$2, schedule[Finish Date],"&gt;="&amp;day_cash[[#This Row],[Date]]-$D$2)</f>
        <v>1373.2394366197184</v>
      </c>
      <c r="E157" s="4">
        <f>SUMIFS(schedule[Equipment CPP], schedule[Start Date],"&lt;="&amp;day_cash[[#This Row],[Date]]-$E$2, schedule[Finish Date],"&gt;="&amp;day_cash[[#This Row],[Date]]-$E$2)</f>
        <v>471.69811320754718</v>
      </c>
      <c r="F157" s="4">
        <f>SUMIFS(schedule[Sub CPP], schedule[Start Date],"&lt;="&amp;day_cash[[#This Row],[Date]]-$F$2, schedule[Finish Date],"&gt;="&amp;day_cash[[#This Row],[Date]]-$F$2)</f>
        <v>5489.2512972572276</v>
      </c>
      <c r="G157" s="3">
        <f>SUMIFS(schedule[Other CPP], schedule[Start Date],"&lt;="&amp;day_cash[[#This Row],[Date]]-$G$2, schedule[Finish Date],"&gt;="&amp;day_cash[[#This Row],[Date]]-$G$2)</f>
        <v>314.46540880503147</v>
      </c>
      <c r="H157" s="3">
        <f>SUM(day_cash[[#This Row],[Labor Cost]:[Other Cost]])</f>
        <v>10493.458933008844</v>
      </c>
      <c r="I157" s="3">
        <f>SUMIFS(schedule[Revenue per Day], schedule[Start Date],"&lt;="&amp;day_cash[[#This Row],[Date]]-$I$2, schedule[Finish Date],"&gt;="&amp;day_cash[[#This Row],[Date]]-$I$2)</f>
        <v>19444.085239983506</v>
      </c>
      <c r="J157" s="3">
        <f>SUM(day_cash[[#Headers],[Labor Cost]]:day_cash[[#This Row],[Labor Cost]])</f>
        <v>569396.75790592562</v>
      </c>
      <c r="K157" s="3">
        <f>SUM(day_cash[[#Headers],[Material Cost]]:day_cash[[#This Row],[Material Cost]])</f>
        <v>207693.66197183076</v>
      </c>
      <c r="L157" s="3">
        <f>SUM(day_cash[[#Headers],[Equipment Cost]]:day_cash[[#This Row],[Equipment Cost]])</f>
        <v>69603.773584905532</v>
      </c>
      <c r="M157" s="3">
        <f>SUM(day_cash[[#Headers],[Sub Cost]]:day_cash[[#This Row],[Sub Cost]])</f>
        <v>195320.60785767229</v>
      </c>
      <c r="N157" s="3">
        <f>SUM(day_cash[[#Headers],[Other Cost]]:day_cash[[#This Row],[Other Cost]])</f>
        <v>46235.849056603671</v>
      </c>
      <c r="O157" s="3">
        <f>SUM(day_cash[[#This Row],[Cumulative Labor]:[Cumulative Other]])</f>
        <v>1088250.6503769378</v>
      </c>
      <c r="P157" s="3">
        <f>SUM(day_cash[[#Headers],[Revenue]]:day_cash[[#This Row],[Revenue]])</f>
        <v>954419.87180711096</v>
      </c>
    </row>
    <row r="158" spans="2:16" x14ac:dyDescent="0.45">
      <c r="B158" s="1">
        <v>46541</v>
      </c>
      <c r="C158" s="4">
        <f>SUMIFS(schedule[Labor CPP], schedule[Start Date],"&lt;="&amp;day_cash[[#This Row],[Date]], schedule[Finish Date],"&gt;="&amp;day_cash[[#This Row],[Date]])</f>
        <v>2844.8046771193194</v>
      </c>
      <c r="D158" s="4">
        <f>SUMIFS(schedule[Material CPP], schedule[Start Date],"&lt;="&amp;day_cash[[#This Row],[Date]]-$D$2, schedule[Finish Date],"&gt;="&amp;day_cash[[#This Row],[Date]]-$D$2)</f>
        <v>1373.2394366197184</v>
      </c>
      <c r="E158" s="4">
        <f>SUMIFS(schedule[Equipment CPP], schedule[Start Date],"&lt;="&amp;day_cash[[#This Row],[Date]]-$E$2, schedule[Finish Date],"&gt;="&amp;day_cash[[#This Row],[Date]]-$E$2)</f>
        <v>471.69811320754718</v>
      </c>
      <c r="F158" s="4">
        <f>SUMIFS(schedule[Sub CPP], schedule[Start Date],"&lt;="&amp;day_cash[[#This Row],[Date]]-$F$2, schedule[Finish Date],"&gt;="&amp;day_cash[[#This Row],[Date]]-$F$2)</f>
        <v>5489.2512972572276</v>
      </c>
      <c r="G158" s="3">
        <f>SUMIFS(schedule[Other CPP], schedule[Start Date],"&lt;="&amp;day_cash[[#This Row],[Date]]-$G$2, schedule[Finish Date],"&gt;="&amp;day_cash[[#This Row],[Date]]-$G$2)</f>
        <v>314.46540880503147</v>
      </c>
      <c r="H158" s="3">
        <f>SUM(day_cash[[#This Row],[Labor Cost]:[Other Cost]])</f>
        <v>10493.458933008844</v>
      </c>
      <c r="I158" s="3">
        <f>SUMIFS(schedule[Revenue per Day], schedule[Start Date],"&lt;="&amp;day_cash[[#This Row],[Date]]-$I$2, schedule[Finish Date],"&gt;="&amp;day_cash[[#This Row],[Date]]-$I$2)</f>
        <v>19444.085239983506</v>
      </c>
      <c r="J158" s="3">
        <f>SUM(day_cash[[#Headers],[Labor Cost]]:day_cash[[#This Row],[Labor Cost]])</f>
        <v>572241.56258304499</v>
      </c>
      <c r="K158" s="3">
        <f>SUM(day_cash[[#Headers],[Material Cost]]:day_cash[[#This Row],[Material Cost]])</f>
        <v>209066.90140845047</v>
      </c>
      <c r="L158" s="3">
        <f>SUM(day_cash[[#Headers],[Equipment Cost]]:day_cash[[#This Row],[Equipment Cost]])</f>
        <v>70075.471698113077</v>
      </c>
      <c r="M158" s="3">
        <f>SUM(day_cash[[#Headers],[Sub Cost]]:day_cash[[#This Row],[Sub Cost]])</f>
        <v>200809.85915492952</v>
      </c>
      <c r="N158" s="3">
        <f>SUM(day_cash[[#Headers],[Other Cost]]:day_cash[[#This Row],[Other Cost]])</f>
        <v>46550.314465408701</v>
      </c>
      <c r="O158" s="3">
        <f>SUM(day_cash[[#This Row],[Cumulative Labor]:[Cumulative Other]])</f>
        <v>1098744.1093099467</v>
      </c>
      <c r="P158" s="3">
        <f>SUM(day_cash[[#Headers],[Revenue]]:day_cash[[#This Row],[Revenue]])</f>
        <v>973863.95704709447</v>
      </c>
    </row>
    <row r="159" spans="2:16" x14ac:dyDescent="0.45">
      <c r="B159" s="1">
        <v>46542</v>
      </c>
      <c r="C159" s="4">
        <f>SUMIFS(schedule[Labor CPP], schedule[Start Date],"&lt;="&amp;day_cash[[#This Row],[Date]], schedule[Finish Date],"&gt;="&amp;day_cash[[#This Row],[Date]])</f>
        <v>2844.8046771193194</v>
      </c>
      <c r="D159" s="4">
        <f>SUMIFS(schedule[Material CPP], schedule[Start Date],"&lt;="&amp;day_cash[[#This Row],[Date]]-$D$2, schedule[Finish Date],"&gt;="&amp;day_cash[[#This Row],[Date]]-$D$2)</f>
        <v>1373.2394366197184</v>
      </c>
      <c r="E159" s="4">
        <f>SUMIFS(schedule[Equipment CPP], schedule[Start Date],"&lt;="&amp;day_cash[[#This Row],[Date]]-$E$2, schedule[Finish Date],"&gt;="&amp;day_cash[[#This Row],[Date]]-$E$2)</f>
        <v>471.69811320754718</v>
      </c>
      <c r="F159" s="4">
        <f>SUMIFS(schedule[Sub CPP], schedule[Start Date],"&lt;="&amp;day_cash[[#This Row],[Date]]-$F$2, schedule[Finish Date],"&gt;="&amp;day_cash[[#This Row],[Date]]-$F$2)</f>
        <v>12739.251297257228</v>
      </c>
      <c r="G159" s="3">
        <f>SUMIFS(schedule[Other CPP], schedule[Start Date],"&lt;="&amp;day_cash[[#This Row],[Date]]-$G$2, schedule[Finish Date],"&gt;="&amp;day_cash[[#This Row],[Date]]-$G$2)</f>
        <v>314.46540880503147</v>
      </c>
      <c r="H159" s="3">
        <f>SUM(day_cash[[#This Row],[Labor Cost]:[Other Cost]])</f>
        <v>17743.458933008842</v>
      </c>
      <c r="I159" s="3">
        <f>SUMIFS(schedule[Revenue per Day], schedule[Start Date],"&lt;="&amp;day_cash[[#This Row],[Date]]-$I$2, schedule[Finish Date],"&gt;="&amp;day_cash[[#This Row],[Date]]-$I$2)</f>
        <v>27854.085239983506</v>
      </c>
      <c r="J159" s="3">
        <f>SUM(day_cash[[#Headers],[Labor Cost]]:day_cash[[#This Row],[Labor Cost]])</f>
        <v>575086.36726016435</v>
      </c>
      <c r="K159" s="3">
        <f>SUM(day_cash[[#Headers],[Material Cost]]:day_cash[[#This Row],[Material Cost]])</f>
        <v>210440.14084507019</v>
      </c>
      <c r="L159" s="3">
        <f>SUM(day_cash[[#Headers],[Equipment Cost]]:day_cash[[#This Row],[Equipment Cost]])</f>
        <v>70547.169811320622</v>
      </c>
      <c r="M159" s="3">
        <f>SUM(day_cash[[#Headers],[Sub Cost]]:day_cash[[#This Row],[Sub Cost]])</f>
        <v>213549.11045218675</v>
      </c>
      <c r="N159" s="3">
        <f>SUM(day_cash[[#Headers],[Other Cost]]:day_cash[[#This Row],[Other Cost]])</f>
        <v>46864.779874213731</v>
      </c>
      <c r="O159" s="3">
        <f>SUM(day_cash[[#This Row],[Cumulative Labor]:[Cumulative Other]])</f>
        <v>1116487.5682429555</v>
      </c>
      <c r="P159" s="3">
        <f>SUM(day_cash[[#Headers],[Revenue]]:day_cash[[#This Row],[Revenue]])</f>
        <v>1001718.042287078</v>
      </c>
    </row>
    <row r="160" spans="2:16" x14ac:dyDescent="0.45">
      <c r="B160" s="1">
        <v>46543</v>
      </c>
      <c r="C160" s="4">
        <f>SUMIFS(schedule[Labor CPP], schedule[Start Date],"&lt;="&amp;day_cash[[#This Row],[Date]], schedule[Finish Date],"&gt;="&amp;day_cash[[#This Row],[Date]])</f>
        <v>2844.8046771193194</v>
      </c>
      <c r="D160" s="4">
        <f>SUMIFS(schedule[Material CPP], schedule[Start Date],"&lt;="&amp;day_cash[[#This Row],[Date]]-$D$2, schedule[Finish Date],"&gt;="&amp;day_cash[[#This Row],[Date]]-$D$2)</f>
        <v>1373.2394366197184</v>
      </c>
      <c r="E160" s="4">
        <f>SUMIFS(schedule[Equipment CPP], schedule[Start Date],"&lt;="&amp;day_cash[[#This Row],[Date]]-$E$2, schedule[Finish Date],"&gt;="&amp;day_cash[[#This Row],[Date]]-$E$2)</f>
        <v>471.69811320754718</v>
      </c>
      <c r="F160" s="4">
        <f>SUMIFS(schedule[Sub CPP], schedule[Start Date],"&lt;="&amp;day_cash[[#This Row],[Date]]-$F$2, schedule[Finish Date],"&gt;="&amp;day_cash[[#This Row],[Date]]-$F$2)</f>
        <v>12739.251297257228</v>
      </c>
      <c r="G160" s="3">
        <f>SUMIFS(schedule[Other CPP], schedule[Start Date],"&lt;="&amp;day_cash[[#This Row],[Date]]-$G$2, schedule[Finish Date],"&gt;="&amp;day_cash[[#This Row],[Date]]-$G$2)</f>
        <v>314.46540880503147</v>
      </c>
      <c r="H160" s="3">
        <f>SUM(day_cash[[#This Row],[Labor Cost]:[Other Cost]])</f>
        <v>17743.458933008842</v>
      </c>
      <c r="I160" s="3">
        <f>SUMIFS(schedule[Revenue per Day], schedule[Start Date],"&lt;="&amp;day_cash[[#This Row],[Date]]-$I$2, schedule[Finish Date],"&gt;="&amp;day_cash[[#This Row],[Date]]-$I$2)</f>
        <v>27854.085239983506</v>
      </c>
      <c r="J160" s="3">
        <f>SUM(day_cash[[#Headers],[Labor Cost]]:day_cash[[#This Row],[Labor Cost]])</f>
        <v>577931.17193728371</v>
      </c>
      <c r="K160" s="3">
        <f>SUM(day_cash[[#Headers],[Material Cost]]:day_cash[[#This Row],[Material Cost]])</f>
        <v>211813.3802816899</v>
      </c>
      <c r="L160" s="3">
        <f>SUM(day_cash[[#Headers],[Equipment Cost]]:day_cash[[#This Row],[Equipment Cost]])</f>
        <v>71018.867924528167</v>
      </c>
      <c r="M160" s="3">
        <f>SUM(day_cash[[#Headers],[Sub Cost]]:day_cash[[#This Row],[Sub Cost]])</f>
        <v>226288.36174944398</v>
      </c>
      <c r="N160" s="3">
        <f>SUM(day_cash[[#Headers],[Other Cost]]:day_cash[[#This Row],[Other Cost]])</f>
        <v>47179.245283018761</v>
      </c>
      <c r="O160" s="3">
        <f>SUM(day_cash[[#This Row],[Cumulative Labor]:[Cumulative Other]])</f>
        <v>1134231.0271759646</v>
      </c>
      <c r="P160" s="3">
        <f>SUM(day_cash[[#Headers],[Revenue]]:day_cash[[#This Row],[Revenue]])</f>
        <v>1029572.1275270615</v>
      </c>
    </row>
    <row r="161" spans="2:16" x14ac:dyDescent="0.45">
      <c r="B161" s="1">
        <v>46544</v>
      </c>
      <c r="C161" s="4">
        <f>SUMIFS(schedule[Labor CPP], schedule[Start Date],"&lt;="&amp;day_cash[[#This Row],[Date]], schedule[Finish Date],"&gt;="&amp;day_cash[[#This Row],[Date]])</f>
        <v>2844.8046771193194</v>
      </c>
      <c r="D161" s="4">
        <f>SUMIFS(schedule[Material CPP], schedule[Start Date],"&lt;="&amp;day_cash[[#This Row],[Date]]-$D$2, schedule[Finish Date],"&gt;="&amp;day_cash[[#This Row],[Date]]-$D$2)</f>
        <v>1373.2394366197184</v>
      </c>
      <c r="E161" s="4">
        <f>SUMIFS(schedule[Equipment CPP], schedule[Start Date],"&lt;="&amp;day_cash[[#This Row],[Date]]-$E$2, schedule[Finish Date],"&gt;="&amp;day_cash[[#This Row],[Date]]-$E$2)</f>
        <v>471.69811320754718</v>
      </c>
      <c r="F161" s="4">
        <f>SUMIFS(schedule[Sub CPP], schedule[Start Date],"&lt;="&amp;day_cash[[#This Row],[Date]]-$F$2, schedule[Finish Date],"&gt;="&amp;day_cash[[#This Row],[Date]]-$F$2)</f>
        <v>12739.251297257228</v>
      </c>
      <c r="G161" s="3">
        <f>SUMIFS(schedule[Other CPP], schedule[Start Date],"&lt;="&amp;day_cash[[#This Row],[Date]]-$G$2, schedule[Finish Date],"&gt;="&amp;day_cash[[#This Row],[Date]]-$G$2)</f>
        <v>314.46540880503147</v>
      </c>
      <c r="H161" s="3">
        <f>SUM(day_cash[[#This Row],[Labor Cost]:[Other Cost]])</f>
        <v>17743.458933008842</v>
      </c>
      <c r="I161" s="3">
        <f>SUMIFS(schedule[Revenue per Day], schedule[Start Date],"&lt;="&amp;day_cash[[#This Row],[Date]]-$I$2, schedule[Finish Date],"&gt;="&amp;day_cash[[#This Row],[Date]]-$I$2)</f>
        <v>27854.085239983506</v>
      </c>
      <c r="J161" s="3">
        <f>SUM(day_cash[[#Headers],[Labor Cost]]:day_cash[[#This Row],[Labor Cost]])</f>
        <v>580775.97661440307</v>
      </c>
      <c r="K161" s="3">
        <f>SUM(day_cash[[#Headers],[Material Cost]]:day_cash[[#This Row],[Material Cost]])</f>
        <v>213186.61971830961</v>
      </c>
      <c r="L161" s="3">
        <f>SUM(day_cash[[#Headers],[Equipment Cost]]:day_cash[[#This Row],[Equipment Cost]])</f>
        <v>71490.566037735713</v>
      </c>
      <c r="M161" s="3">
        <f>SUM(day_cash[[#Headers],[Sub Cost]]:day_cash[[#This Row],[Sub Cost]])</f>
        <v>239027.61304670121</v>
      </c>
      <c r="N161" s="3">
        <f>SUM(day_cash[[#Headers],[Other Cost]]:day_cash[[#This Row],[Other Cost]])</f>
        <v>47493.710691823791</v>
      </c>
      <c r="O161" s="3">
        <f>SUM(day_cash[[#This Row],[Cumulative Labor]:[Cumulative Other]])</f>
        <v>1151974.4861089734</v>
      </c>
      <c r="P161" s="3">
        <f>SUM(day_cash[[#Headers],[Revenue]]:day_cash[[#This Row],[Revenue]])</f>
        <v>1057426.212767045</v>
      </c>
    </row>
    <row r="162" spans="2:16" x14ac:dyDescent="0.45">
      <c r="B162" s="1">
        <v>46545</v>
      </c>
      <c r="C162" s="4">
        <f>SUMIFS(schedule[Labor CPP], schedule[Start Date],"&lt;="&amp;day_cash[[#This Row],[Date]], schedule[Finish Date],"&gt;="&amp;day_cash[[#This Row],[Date]])</f>
        <v>2844.8046771193194</v>
      </c>
      <c r="D162" s="4">
        <f>SUMIFS(schedule[Material CPP], schedule[Start Date],"&lt;="&amp;day_cash[[#This Row],[Date]]-$D$2, schedule[Finish Date],"&gt;="&amp;day_cash[[#This Row],[Date]]-$D$2)</f>
        <v>1373.2394366197184</v>
      </c>
      <c r="E162" s="4">
        <f>SUMIFS(schedule[Equipment CPP], schedule[Start Date],"&lt;="&amp;day_cash[[#This Row],[Date]]-$E$2, schedule[Finish Date],"&gt;="&amp;day_cash[[#This Row],[Date]]-$E$2)</f>
        <v>471.69811320754718</v>
      </c>
      <c r="F162" s="4">
        <f>SUMIFS(schedule[Sub CPP], schedule[Start Date],"&lt;="&amp;day_cash[[#This Row],[Date]]-$F$2, schedule[Finish Date],"&gt;="&amp;day_cash[[#This Row],[Date]]-$F$2)</f>
        <v>12739.251297257228</v>
      </c>
      <c r="G162" s="3">
        <f>SUMIFS(schedule[Other CPP], schedule[Start Date],"&lt;="&amp;day_cash[[#This Row],[Date]]-$G$2, schedule[Finish Date],"&gt;="&amp;day_cash[[#This Row],[Date]]-$G$2)</f>
        <v>314.46540880503147</v>
      </c>
      <c r="H162" s="3">
        <f>SUM(day_cash[[#This Row],[Labor Cost]:[Other Cost]])</f>
        <v>17743.458933008842</v>
      </c>
      <c r="I162" s="3">
        <f>SUMIFS(schedule[Revenue per Day], schedule[Start Date],"&lt;="&amp;day_cash[[#This Row],[Date]]-$I$2, schedule[Finish Date],"&gt;="&amp;day_cash[[#This Row],[Date]]-$I$2)</f>
        <v>27854.085239983506</v>
      </c>
      <c r="J162" s="3">
        <f>SUM(day_cash[[#Headers],[Labor Cost]]:day_cash[[#This Row],[Labor Cost]])</f>
        <v>583620.78129152243</v>
      </c>
      <c r="K162" s="3">
        <f>SUM(day_cash[[#Headers],[Material Cost]]:day_cash[[#This Row],[Material Cost]])</f>
        <v>214559.85915492932</v>
      </c>
      <c r="L162" s="3">
        <f>SUM(day_cash[[#Headers],[Equipment Cost]]:day_cash[[#This Row],[Equipment Cost]])</f>
        <v>71962.264150943258</v>
      </c>
      <c r="M162" s="3">
        <f>SUM(day_cash[[#Headers],[Sub Cost]]:day_cash[[#This Row],[Sub Cost]])</f>
        <v>251766.86434395844</v>
      </c>
      <c r="N162" s="3">
        <f>SUM(day_cash[[#Headers],[Other Cost]]:day_cash[[#This Row],[Other Cost]])</f>
        <v>47808.176100628822</v>
      </c>
      <c r="O162" s="3">
        <f>SUM(day_cash[[#This Row],[Cumulative Labor]:[Cumulative Other]])</f>
        <v>1169717.9450419825</v>
      </c>
      <c r="P162" s="3">
        <f>SUM(day_cash[[#Headers],[Revenue]]:day_cash[[#This Row],[Revenue]])</f>
        <v>1085280.2980070284</v>
      </c>
    </row>
    <row r="163" spans="2:16" x14ac:dyDescent="0.45">
      <c r="B163" s="1">
        <v>46546</v>
      </c>
      <c r="C163" s="4">
        <f>SUMIFS(schedule[Labor CPP], schedule[Start Date],"&lt;="&amp;day_cash[[#This Row],[Date]], schedule[Finish Date],"&gt;="&amp;day_cash[[#This Row],[Date]])</f>
        <v>2844.8046771193194</v>
      </c>
      <c r="D163" s="4">
        <f>SUMIFS(schedule[Material CPP], schedule[Start Date],"&lt;="&amp;day_cash[[#This Row],[Date]]-$D$2, schedule[Finish Date],"&gt;="&amp;day_cash[[#This Row],[Date]]-$D$2)</f>
        <v>1373.2394366197184</v>
      </c>
      <c r="E163" s="4">
        <f>SUMIFS(schedule[Equipment CPP], schedule[Start Date],"&lt;="&amp;day_cash[[#This Row],[Date]]-$E$2, schedule[Finish Date],"&gt;="&amp;day_cash[[#This Row],[Date]]-$E$2)</f>
        <v>471.69811320754718</v>
      </c>
      <c r="F163" s="4">
        <f>SUMIFS(schedule[Sub CPP], schedule[Start Date],"&lt;="&amp;day_cash[[#This Row],[Date]]-$F$2, schedule[Finish Date],"&gt;="&amp;day_cash[[#This Row],[Date]]-$F$2)</f>
        <v>12739.251297257228</v>
      </c>
      <c r="G163" s="3">
        <f>SUMIFS(schedule[Other CPP], schedule[Start Date],"&lt;="&amp;day_cash[[#This Row],[Date]]-$G$2, schedule[Finish Date],"&gt;="&amp;day_cash[[#This Row],[Date]]-$G$2)</f>
        <v>314.46540880503147</v>
      </c>
      <c r="H163" s="3">
        <f>SUM(day_cash[[#This Row],[Labor Cost]:[Other Cost]])</f>
        <v>17743.458933008842</v>
      </c>
      <c r="I163" s="3">
        <f>SUMIFS(schedule[Revenue per Day], schedule[Start Date],"&lt;="&amp;day_cash[[#This Row],[Date]]-$I$2, schedule[Finish Date],"&gt;="&amp;day_cash[[#This Row],[Date]]-$I$2)</f>
        <v>27854.085239983506</v>
      </c>
      <c r="J163" s="3">
        <f>SUM(day_cash[[#Headers],[Labor Cost]]:day_cash[[#This Row],[Labor Cost]])</f>
        <v>586465.5859686418</v>
      </c>
      <c r="K163" s="3">
        <f>SUM(day_cash[[#Headers],[Material Cost]]:day_cash[[#This Row],[Material Cost]])</f>
        <v>215933.09859154903</v>
      </c>
      <c r="L163" s="3">
        <f>SUM(day_cash[[#Headers],[Equipment Cost]]:day_cash[[#This Row],[Equipment Cost]])</f>
        <v>72433.962264150803</v>
      </c>
      <c r="M163" s="3">
        <f>SUM(day_cash[[#Headers],[Sub Cost]]:day_cash[[#This Row],[Sub Cost]])</f>
        <v>264506.11564121564</v>
      </c>
      <c r="N163" s="3">
        <f>SUM(day_cash[[#Headers],[Other Cost]]:day_cash[[#This Row],[Other Cost]])</f>
        <v>48122.641509433852</v>
      </c>
      <c r="O163" s="3">
        <f>SUM(day_cash[[#This Row],[Cumulative Labor]:[Cumulative Other]])</f>
        <v>1187461.4039749911</v>
      </c>
      <c r="P163" s="3">
        <f>SUM(day_cash[[#Headers],[Revenue]]:day_cash[[#This Row],[Revenue]])</f>
        <v>1113134.3832470118</v>
      </c>
    </row>
    <row r="164" spans="2:16" x14ac:dyDescent="0.45">
      <c r="B164" s="1">
        <v>46547</v>
      </c>
      <c r="C164" s="4">
        <f>SUMIFS(schedule[Labor CPP], schedule[Start Date],"&lt;="&amp;day_cash[[#This Row],[Date]], schedule[Finish Date],"&gt;="&amp;day_cash[[#This Row],[Date]])</f>
        <v>2844.8046771193194</v>
      </c>
      <c r="D164" s="4">
        <f>SUMIFS(schedule[Material CPP], schedule[Start Date],"&lt;="&amp;day_cash[[#This Row],[Date]]-$D$2, schedule[Finish Date],"&gt;="&amp;day_cash[[#This Row],[Date]]-$D$2)</f>
        <v>1373.2394366197184</v>
      </c>
      <c r="E164" s="4">
        <f>SUMIFS(schedule[Equipment CPP], schedule[Start Date],"&lt;="&amp;day_cash[[#This Row],[Date]]-$E$2, schedule[Finish Date],"&gt;="&amp;day_cash[[#This Row],[Date]]-$E$2)</f>
        <v>471.69811320754718</v>
      </c>
      <c r="F164" s="4">
        <f>SUMIFS(schedule[Sub CPP], schedule[Start Date],"&lt;="&amp;day_cash[[#This Row],[Date]]-$F$2, schedule[Finish Date],"&gt;="&amp;day_cash[[#This Row],[Date]]-$F$2)</f>
        <v>12739.251297257228</v>
      </c>
      <c r="G164" s="3">
        <f>SUMIFS(schedule[Other CPP], schedule[Start Date],"&lt;="&amp;day_cash[[#This Row],[Date]]-$G$2, schedule[Finish Date],"&gt;="&amp;day_cash[[#This Row],[Date]]-$G$2)</f>
        <v>314.46540880503147</v>
      </c>
      <c r="H164" s="3">
        <f>SUM(day_cash[[#This Row],[Labor Cost]:[Other Cost]])</f>
        <v>17743.458933008842</v>
      </c>
      <c r="I164" s="3">
        <f>SUMIFS(schedule[Revenue per Day], schedule[Start Date],"&lt;="&amp;day_cash[[#This Row],[Date]]-$I$2, schedule[Finish Date],"&gt;="&amp;day_cash[[#This Row],[Date]]-$I$2)</f>
        <v>27854.085239983506</v>
      </c>
      <c r="J164" s="3">
        <f>SUM(day_cash[[#Headers],[Labor Cost]]:day_cash[[#This Row],[Labor Cost]])</f>
        <v>589310.39064576116</v>
      </c>
      <c r="K164" s="3">
        <f>SUM(day_cash[[#Headers],[Material Cost]]:day_cash[[#This Row],[Material Cost]])</f>
        <v>217306.33802816874</v>
      </c>
      <c r="L164" s="3">
        <f>SUM(day_cash[[#Headers],[Equipment Cost]]:day_cash[[#This Row],[Equipment Cost]])</f>
        <v>72905.660377358348</v>
      </c>
      <c r="M164" s="3">
        <f>SUM(day_cash[[#Headers],[Sub Cost]]:day_cash[[#This Row],[Sub Cost]])</f>
        <v>277245.36693847284</v>
      </c>
      <c r="N164" s="3">
        <f>SUM(day_cash[[#Headers],[Other Cost]]:day_cash[[#This Row],[Other Cost]])</f>
        <v>48437.106918238882</v>
      </c>
      <c r="O164" s="3">
        <f>SUM(day_cash[[#This Row],[Cumulative Labor]:[Cumulative Other]])</f>
        <v>1205204.8629079999</v>
      </c>
      <c r="P164" s="3">
        <f>SUM(day_cash[[#Headers],[Revenue]]:day_cash[[#This Row],[Revenue]])</f>
        <v>1140988.4684869952</v>
      </c>
    </row>
    <row r="165" spans="2:16" x14ac:dyDescent="0.45">
      <c r="B165" s="1">
        <v>46548</v>
      </c>
      <c r="C165" s="4">
        <f>SUMIFS(schedule[Labor CPP], schedule[Start Date],"&lt;="&amp;day_cash[[#This Row],[Date]], schedule[Finish Date],"&gt;="&amp;day_cash[[#This Row],[Date]])</f>
        <v>2844.8046771193194</v>
      </c>
      <c r="D165" s="4">
        <f>SUMIFS(schedule[Material CPP], schedule[Start Date],"&lt;="&amp;day_cash[[#This Row],[Date]]-$D$2, schedule[Finish Date],"&gt;="&amp;day_cash[[#This Row],[Date]]-$D$2)</f>
        <v>1373.2394366197184</v>
      </c>
      <c r="E165" s="4">
        <f>SUMIFS(schedule[Equipment CPP], schedule[Start Date],"&lt;="&amp;day_cash[[#This Row],[Date]]-$E$2, schedule[Finish Date],"&gt;="&amp;day_cash[[#This Row],[Date]]-$E$2)</f>
        <v>471.69811320754718</v>
      </c>
      <c r="F165" s="4">
        <f>SUMIFS(schedule[Sub CPP], schedule[Start Date],"&lt;="&amp;day_cash[[#This Row],[Date]]-$F$2, schedule[Finish Date],"&gt;="&amp;day_cash[[#This Row],[Date]]-$F$2)</f>
        <v>12739.251297257228</v>
      </c>
      <c r="G165" s="3">
        <f>SUMIFS(schedule[Other CPP], schedule[Start Date],"&lt;="&amp;day_cash[[#This Row],[Date]]-$G$2, schedule[Finish Date],"&gt;="&amp;day_cash[[#This Row],[Date]]-$G$2)</f>
        <v>314.46540880503147</v>
      </c>
      <c r="H165" s="3">
        <f>SUM(day_cash[[#This Row],[Labor Cost]:[Other Cost]])</f>
        <v>17743.458933008842</v>
      </c>
      <c r="I165" s="3">
        <f>SUMIFS(schedule[Revenue per Day], schedule[Start Date],"&lt;="&amp;day_cash[[#This Row],[Date]]-$I$2, schedule[Finish Date],"&gt;="&amp;day_cash[[#This Row],[Date]]-$I$2)</f>
        <v>27854.085239983506</v>
      </c>
      <c r="J165" s="3">
        <f>SUM(day_cash[[#Headers],[Labor Cost]]:day_cash[[#This Row],[Labor Cost]])</f>
        <v>592155.19532288052</v>
      </c>
      <c r="K165" s="3">
        <f>SUM(day_cash[[#Headers],[Material Cost]]:day_cash[[#This Row],[Material Cost]])</f>
        <v>218679.57746478845</v>
      </c>
      <c r="L165" s="3">
        <f>SUM(day_cash[[#Headers],[Equipment Cost]]:day_cash[[#This Row],[Equipment Cost]])</f>
        <v>73377.358490565894</v>
      </c>
      <c r="M165" s="3">
        <f>SUM(day_cash[[#Headers],[Sub Cost]]:day_cash[[#This Row],[Sub Cost]])</f>
        <v>289984.61823573004</v>
      </c>
      <c r="N165" s="3">
        <f>SUM(day_cash[[#Headers],[Other Cost]]:day_cash[[#This Row],[Other Cost]])</f>
        <v>48751.572327043912</v>
      </c>
      <c r="O165" s="3">
        <f>SUM(day_cash[[#This Row],[Cumulative Labor]:[Cumulative Other]])</f>
        <v>1222948.3218410087</v>
      </c>
      <c r="P165" s="3">
        <f>SUM(day_cash[[#Headers],[Revenue]]:day_cash[[#This Row],[Revenue]])</f>
        <v>1168842.5537269786</v>
      </c>
    </row>
    <row r="166" spans="2:16" x14ac:dyDescent="0.45">
      <c r="B166" s="1">
        <v>46549</v>
      </c>
      <c r="C166" s="4">
        <f>SUMIFS(schedule[Labor CPP], schedule[Start Date],"&lt;="&amp;day_cash[[#This Row],[Date]], schedule[Finish Date],"&gt;="&amp;day_cash[[#This Row],[Date]])</f>
        <v>2844.8046771193194</v>
      </c>
      <c r="D166" s="4">
        <f>SUMIFS(schedule[Material CPP], schedule[Start Date],"&lt;="&amp;day_cash[[#This Row],[Date]]-$D$2, schedule[Finish Date],"&gt;="&amp;day_cash[[#This Row],[Date]]-$D$2)</f>
        <v>1373.2394366197184</v>
      </c>
      <c r="E166" s="4">
        <f>SUMIFS(schedule[Equipment CPP], schedule[Start Date],"&lt;="&amp;day_cash[[#This Row],[Date]]-$E$2, schedule[Finish Date],"&gt;="&amp;day_cash[[#This Row],[Date]]-$E$2)</f>
        <v>471.69811320754718</v>
      </c>
      <c r="F166" s="4">
        <f>SUMIFS(schedule[Sub CPP], schedule[Start Date],"&lt;="&amp;day_cash[[#This Row],[Date]]-$F$2, schedule[Finish Date],"&gt;="&amp;day_cash[[#This Row],[Date]]-$F$2)</f>
        <v>12739.251297257228</v>
      </c>
      <c r="G166" s="3">
        <f>SUMIFS(schedule[Other CPP], schedule[Start Date],"&lt;="&amp;day_cash[[#This Row],[Date]]-$G$2, schedule[Finish Date],"&gt;="&amp;day_cash[[#This Row],[Date]]-$G$2)</f>
        <v>314.46540880503147</v>
      </c>
      <c r="H166" s="3">
        <f>SUM(day_cash[[#This Row],[Labor Cost]:[Other Cost]])</f>
        <v>17743.458933008842</v>
      </c>
      <c r="I166" s="3">
        <f>SUMIFS(schedule[Revenue per Day], schedule[Start Date],"&lt;="&amp;day_cash[[#This Row],[Date]]-$I$2, schedule[Finish Date],"&gt;="&amp;day_cash[[#This Row],[Date]]-$I$2)</f>
        <v>27854.085239983506</v>
      </c>
      <c r="J166" s="3">
        <f>SUM(day_cash[[#Headers],[Labor Cost]]:day_cash[[#This Row],[Labor Cost]])</f>
        <v>594999.99999999988</v>
      </c>
      <c r="K166" s="3">
        <f>SUM(day_cash[[#Headers],[Material Cost]]:day_cash[[#This Row],[Material Cost]])</f>
        <v>220052.81690140816</v>
      </c>
      <c r="L166" s="3">
        <f>SUM(day_cash[[#Headers],[Equipment Cost]]:day_cash[[#This Row],[Equipment Cost]])</f>
        <v>73849.056603773439</v>
      </c>
      <c r="M166" s="3">
        <f>SUM(day_cash[[#Headers],[Sub Cost]]:day_cash[[#This Row],[Sub Cost]])</f>
        <v>302723.86953298724</v>
      </c>
      <c r="N166" s="3">
        <f>SUM(day_cash[[#Headers],[Other Cost]]:day_cash[[#This Row],[Other Cost]])</f>
        <v>49066.037735848942</v>
      </c>
      <c r="O166" s="3">
        <f>SUM(day_cash[[#This Row],[Cumulative Labor]:[Cumulative Other]])</f>
        <v>1240691.7807740176</v>
      </c>
      <c r="P166" s="3">
        <f>SUM(day_cash[[#Headers],[Revenue]]:day_cash[[#This Row],[Revenue]])</f>
        <v>1196696.638966962</v>
      </c>
    </row>
    <row r="167" spans="2:16" x14ac:dyDescent="0.45">
      <c r="B167" s="1">
        <v>46550</v>
      </c>
      <c r="C167" s="4">
        <f>SUMIFS(schedule[Labor CPP], schedule[Start Date],"&lt;="&amp;day_cash[[#This Row],[Date]], schedule[Finish Date],"&gt;="&amp;day_cash[[#This Row],[Date]])</f>
        <v>0</v>
      </c>
      <c r="D167" s="4">
        <f>SUMIFS(schedule[Material CPP], schedule[Start Date],"&lt;="&amp;day_cash[[#This Row],[Date]]-$D$2, schedule[Finish Date],"&gt;="&amp;day_cash[[#This Row],[Date]]-$D$2)</f>
        <v>1373.2394366197184</v>
      </c>
      <c r="E167" s="4">
        <f>SUMIFS(schedule[Equipment CPP], schedule[Start Date],"&lt;="&amp;day_cash[[#This Row],[Date]]-$E$2, schedule[Finish Date],"&gt;="&amp;day_cash[[#This Row],[Date]]-$E$2)</f>
        <v>471.69811320754718</v>
      </c>
      <c r="F167" s="4">
        <f>SUMIFS(schedule[Sub CPP], schedule[Start Date],"&lt;="&amp;day_cash[[#This Row],[Date]]-$F$2, schedule[Finish Date],"&gt;="&amp;day_cash[[#This Row],[Date]]-$F$2)</f>
        <v>12739.251297257228</v>
      </c>
      <c r="G167" s="3">
        <f>SUMIFS(schedule[Other CPP], schedule[Start Date],"&lt;="&amp;day_cash[[#This Row],[Date]]-$G$2, schedule[Finish Date],"&gt;="&amp;day_cash[[#This Row],[Date]]-$G$2)</f>
        <v>314.46540880503147</v>
      </c>
      <c r="H167" s="3">
        <f>SUM(day_cash[[#This Row],[Labor Cost]:[Other Cost]])</f>
        <v>14898.654255889525</v>
      </c>
      <c r="I167" s="3">
        <f>SUMIFS(schedule[Revenue per Day], schedule[Start Date],"&lt;="&amp;day_cash[[#This Row],[Date]]-$I$2, schedule[Finish Date],"&gt;="&amp;day_cash[[#This Row],[Date]]-$I$2)</f>
        <v>27854.085239983506</v>
      </c>
      <c r="J167" s="3">
        <f>SUM(day_cash[[#Headers],[Labor Cost]]:day_cash[[#This Row],[Labor Cost]])</f>
        <v>594999.99999999988</v>
      </c>
      <c r="K167" s="3">
        <f>SUM(day_cash[[#Headers],[Material Cost]]:day_cash[[#This Row],[Material Cost]])</f>
        <v>221426.05633802788</v>
      </c>
      <c r="L167" s="3">
        <f>SUM(day_cash[[#Headers],[Equipment Cost]]:day_cash[[#This Row],[Equipment Cost]])</f>
        <v>74320.754716980984</v>
      </c>
      <c r="M167" s="3">
        <f>SUM(day_cash[[#Headers],[Sub Cost]]:day_cash[[#This Row],[Sub Cost]])</f>
        <v>315463.12083024444</v>
      </c>
      <c r="N167" s="3">
        <f>SUM(day_cash[[#Headers],[Other Cost]]:day_cash[[#This Row],[Other Cost]])</f>
        <v>49380.503144653972</v>
      </c>
      <c r="O167" s="3">
        <f>SUM(day_cash[[#This Row],[Cumulative Labor]:[Cumulative Other]])</f>
        <v>1255590.4350299072</v>
      </c>
      <c r="P167" s="3">
        <f>SUM(day_cash[[#Headers],[Revenue]]:day_cash[[#This Row],[Revenue]])</f>
        <v>1224550.7242069454</v>
      </c>
    </row>
    <row r="168" spans="2:16" x14ac:dyDescent="0.45">
      <c r="B168" s="1">
        <v>46551</v>
      </c>
      <c r="C168" s="4">
        <f>SUMIFS(schedule[Labor CPP], schedule[Start Date],"&lt;="&amp;day_cash[[#This Row],[Date]], schedule[Finish Date],"&gt;="&amp;day_cash[[#This Row],[Date]])</f>
        <v>0</v>
      </c>
      <c r="D168" s="4">
        <f>SUMIFS(schedule[Material CPP], schedule[Start Date],"&lt;="&amp;day_cash[[#This Row],[Date]]-$D$2, schedule[Finish Date],"&gt;="&amp;day_cash[[#This Row],[Date]]-$D$2)</f>
        <v>1373.2394366197184</v>
      </c>
      <c r="E168" s="4">
        <f>SUMIFS(schedule[Equipment CPP], schedule[Start Date],"&lt;="&amp;day_cash[[#This Row],[Date]]-$E$2, schedule[Finish Date],"&gt;="&amp;day_cash[[#This Row],[Date]]-$E$2)</f>
        <v>471.69811320754718</v>
      </c>
      <c r="F168" s="4">
        <f>SUMIFS(schedule[Sub CPP], schedule[Start Date],"&lt;="&amp;day_cash[[#This Row],[Date]]-$F$2, schedule[Finish Date],"&gt;="&amp;day_cash[[#This Row],[Date]]-$F$2)</f>
        <v>12739.251297257228</v>
      </c>
      <c r="G168" s="3">
        <f>SUMIFS(schedule[Other CPP], schedule[Start Date],"&lt;="&amp;day_cash[[#This Row],[Date]]-$G$2, schedule[Finish Date],"&gt;="&amp;day_cash[[#This Row],[Date]]-$G$2)</f>
        <v>314.46540880503147</v>
      </c>
      <c r="H168" s="3">
        <f>SUM(day_cash[[#This Row],[Labor Cost]:[Other Cost]])</f>
        <v>14898.654255889525</v>
      </c>
      <c r="I168" s="3">
        <f>SUMIFS(schedule[Revenue per Day], schedule[Start Date],"&lt;="&amp;day_cash[[#This Row],[Date]]-$I$2, schedule[Finish Date],"&gt;="&amp;day_cash[[#This Row],[Date]]-$I$2)</f>
        <v>27854.085239983506</v>
      </c>
      <c r="J168" s="3">
        <f>SUM(day_cash[[#Headers],[Labor Cost]]:day_cash[[#This Row],[Labor Cost]])</f>
        <v>594999.99999999988</v>
      </c>
      <c r="K168" s="3">
        <f>SUM(day_cash[[#Headers],[Material Cost]]:day_cash[[#This Row],[Material Cost]])</f>
        <v>222799.29577464759</v>
      </c>
      <c r="L168" s="3">
        <f>SUM(day_cash[[#Headers],[Equipment Cost]]:day_cash[[#This Row],[Equipment Cost]])</f>
        <v>74792.452830188529</v>
      </c>
      <c r="M168" s="3">
        <f>SUM(day_cash[[#Headers],[Sub Cost]]:day_cash[[#This Row],[Sub Cost]])</f>
        <v>328202.37212750164</v>
      </c>
      <c r="N168" s="3">
        <f>SUM(day_cash[[#Headers],[Other Cost]]:day_cash[[#This Row],[Other Cost]])</f>
        <v>49694.968553459003</v>
      </c>
      <c r="O168" s="3">
        <f>SUM(day_cash[[#This Row],[Cumulative Labor]:[Cumulative Other]])</f>
        <v>1270489.0892857967</v>
      </c>
      <c r="P168" s="3">
        <f>SUM(day_cash[[#Headers],[Revenue]]:day_cash[[#This Row],[Revenue]])</f>
        <v>1252404.8094469288</v>
      </c>
    </row>
    <row r="169" spans="2:16" x14ac:dyDescent="0.45">
      <c r="B169" s="1">
        <v>46552</v>
      </c>
      <c r="C169" s="4">
        <f>SUMIFS(schedule[Labor CPP], schedule[Start Date],"&lt;="&amp;day_cash[[#This Row],[Date]], schedule[Finish Date],"&gt;="&amp;day_cash[[#This Row],[Date]])</f>
        <v>0</v>
      </c>
      <c r="D169" s="4">
        <f>SUMIFS(schedule[Material CPP], schedule[Start Date],"&lt;="&amp;day_cash[[#This Row],[Date]]-$D$2, schedule[Finish Date],"&gt;="&amp;day_cash[[#This Row],[Date]]-$D$2)</f>
        <v>1373.2394366197184</v>
      </c>
      <c r="E169" s="4">
        <f>SUMIFS(schedule[Equipment CPP], schedule[Start Date],"&lt;="&amp;day_cash[[#This Row],[Date]]-$E$2, schedule[Finish Date],"&gt;="&amp;day_cash[[#This Row],[Date]]-$E$2)</f>
        <v>471.69811320754718</v>
      </c>
      <c r="F169" s="4">
        <f>SUMIFS(schedule[Sub CPP], schedule[Start Date],"&lt;="&amp;day_cash[[#This Row],[Date]]-$F$2, schedule[Finish Date],"&gt;="&amp;day_cash[[#This Row],[Date]]-$F$2)</f>
        <v>12739.251297257228</v>
      </c>
      <c r="G169" s="3">
        <f>SUMIFS(schedule[Other CPP], schedule[Start Date],"&lt;="&amp;day_cash[[#This Row],[Date]]-$G$2, schedule[Finish Date],"&gt;="&amp;day_cash[[#This Row],[Date]]-$G$2)</f>
        <v>314.46540880503147</v>
      </c>
      <c r="H169" s="3">
        <f>SUM(day_cash[[#This Row],[Labor Cost]:[Other Cost]])</f>
        <v>14898.654255889525</v>
      </c>
      <c r="I169" s="3">
        <f>SUMIFS(schedule[Revenue per Day], schedule[Start Date],"&lt;="&amp;day_cash[[#This Row],[Date]]-$I$2, schedule[Finish Date],"&gt;="&amp;day_cash[[#This Row],[Date]]-$I$2)</f>
        <v>27854.085239983506</v>
      </c>
      <c r="J169" s="3">
        <f>SUM(day_cash[[#Headers],[Labor Cost]]:day_cash[[#This Row],[Labor Cost]])</f>
        <v>594999.99999999988</v>
      </c>
      <c r="K169" s="3">
        <f>SUM(day_cash[[#Headers],[Material Cost]]:day_cash[[#This Row],[Material Cost]])</f>
        <v>224172.5352112673</v>
      </c>
      <c r="L169" s="3">
        <f>SUM(day_cash[[#Headers],[Equipment Cost]]:day_cash[[#This Row],[Equipment Cost]])</f>
        <v>75264.150943396075</v>
      </c>
      <c r="M169" s="3">
        <f>SUM(day_cash[[#Headers],[Sub Cost]]:day_cash[[#This Row],[Sub Cost]])</f>
        <v>340941.62342475884</v>
      </c>
      <c r="N169" s="3">
        <f>SUM(day_cash[[#Headers],[Other Cost]]:day_cash[[#This Row],[Other Cost]])</f>
        <v>50009.433962264033</v>
      </c>
      <c r="O169" s="3">
        <f>SUM(day_cash[[#This Row],[Cumulative Labor]:[Cumulative Other]])</f>
        <v>1285387.7435416861</v>
      </c>
      <c r="P169" s="3">
        <f>SUM(day_cash[[#Headers],[Revenue]]:day_cash[[#This Row],[Revenue]])</f>
        <v>1280258.8946869122</v>
      </c>
    </row>
    <row r="170" spans="2:16" x14ac:dyDescent="0.45">
      <c r="B170" s="1">
        <v>46553</v>
      </c>
      <c r="C170" s="4">
        <f>SUMIFS(schedule[Labor CPP], schedule[Start Date],"&lt;="&amp;day_cash[[#This Row],[Date]], schedule[Finish Date],"&gt;="&amp;day_cash[[#This Row],[Date]])</f>
        <v>0</v>
      </c>
      <c r="D170" s="4">
        <f>SUMIFS(schedule[Material CPP], schedule[Start Date],"&lt;="&amp;day_cash[[#This Row],[Date]]-$D$2, schedule[Finish Date],"&gt;="&amp;day_cash[[#This Row],[Date]]-$D$2)</f>
        <v>1373.2394366197184</v>
      </c>
      <c r="E170" s="4">
        <f>SUMIFS(schedule[Equipment CPP], schedule[Start Date],"&lt;="&amp;day_cash[[#This Row],[Date]]-$E$2, schedule[Finish Date],"&gt;="&amp;day_cash[[#This Row],[Date]]-$E$2)</f>
        <v>471.69811320754718</v>
      </c>
      <c r="F170" s="4">
        <f>SUMIFS(schedule[Sub CPP], schedule[Start Date],"&lt;="&amp;day_cash[[#This Row],[Date]]-$F$2, schedule[Finish Date],"&gt;="&amp;day_cash[[#This Row],[Date]]-$F$2)</f>
        <v>12739.251297257228</v>
      </c>
      <c r="G170" s="3">
        <f>SUMIFS(schedule[Other CPP], schedule[Start Date],"&lt;="&amp;day_cash[[#This Row],[Date]]-$G$2, schedule[Finish Date],"&gt;="&amp;day_cash[[#This Row],[Date]]-$G$2)</f>
        <v>314.46540880503147</v>
      </c>
      <c r="H170" s="3">
        <f>SUM(day_cash[[#This Row],[Labor Cost]:[Other Cost]])</f>
        <v>14898.654255889525</v>
      </c>
      <c r="I170" s="3">
        <f>SUMIFS(schedule[Revenue per Day], schedule[Start Date],"&lt;="&amp;day_cash[[#This Row],[Date]]-$I$2, schedule[Finish Date],"&gt;="&amp;day_cash[[#This Row],[Date]]-$I$2)</f>
        <v>27854.085239983506</v>
      </c>
      <c r="J170" s="3">
        <f>SUM(day_cash[[#Headers],[Labor Cost]]:day_cash[[#This Row],[Labor Cost]])</f>
        <v>594999.99999999988</v>
      </c>
      <c r="K170" s="3">
        <f>SUM(day_cash[[#Headers],[Material Cost]]:day_cash[[#This Row],[Material Cost]])</f>
        <v>225545.77464788701</v>
      </c>
      <c r="L170" s="3">
        <f>SUM(day_cash[[#Headers],[Equipment Cost]]:day_cash[[#This Row],[Equipment Cost]])</f>
        <v>75735.84905660362</v>
      </c>
      <c r="M170" s="3">
        <f>SUM(day_cash[[#Headers],[Sub Cost]]:day_cash[[#This Row],[Sub Cost]])</f>
        <v>353680.87472201604</v>
      </c>
      <c r="N170" s="3">
        <f>SUM(day_cash[[#Headers],[Other Cost]]:day_cash[[#This Row],[Other Cost]])</f>
        <v>50323.899371069063</v>
      </c>
      <c r="O170" s="3">
        <f>SUM(day_cash[[#This Row],[Cumulative Labor]:[Cumulative Other]])</f>
        <v>1300286.3977975757</v>
      </c>
      <c r="P170" s="3">
        <f>SUM(day_cash[[#Headers],[Revenue]]:day_cash[[#This Row],[Revenue]])</f>
        <v>1308112.9799268956</v>
      </c>
    </row>
    <row r="171" spans="2:16" x14ac:dyDescent="0.45">
      <c r="B171" s="1">
        <v>46554</v>
      </c>
      <c r="C171" s="4">
        <f>SUMIFS(schedule[Labor CPP], schedule[Start Date],"&lt;="&amp;day_cash[[#This Row],[Date]], schedule[Finish Date],"&gt;="&amp;day_cash[[#This Row],[Date]])</f>
        <v>0</v>
      </c>
      <c r="D171" s="4">
        <f>SUMIFS(schedule[Material CPP], schedule[Start Date],"&lt;="&amp;day_cash[[#This Row],[Date]]-$D$2, schedule[Finish Date],"&gt;="&amp;day_cash[[#This Row],[Date]]-$D$2)</f>
        <v>1373.2394366197184</v>
      </c>
      <c r="E171" s="4">
        <f>SUMIFS(schedule[Equipment CPP], schedule[Start Date],"&lt;="&amp;day_cash[[#This Row],[Date]]-$E$2, schedule[Finish Date],"&gt;="&amp;day_cash[[#This Row],[Date]]-$E$2)</f>
        <v>471.69811320754718</v>
      </c>
      <c r="F171" s="4">
        <f>SUMIFS(schedule[Sub CPP], schedule[Start Date],"&lt;="&amp;day_cash[[#This Row],[Date]]-$F$2, schedule[Finish Date],"&gt;="&amp;day_cash[[#This Row],[Date]]-$F$2)</f>
        <v>12739.251297257228</v>
      </c>
      <c r="G171" s="3">
        <f>SUMIFS(schedule[Other CPP], schedule[Start Date],"&lt;="&amp;day_cash[[#This Row],[Date]]-$G$2, schedule[Finish Date],"&gt;="&amp;day_cash[[#This Row],[Date]]-$G$2)</f>
        <v>314.46540880503147</v>
      </c>
      <c r="H171" s="3">
        <f>SUM(day_cash[[#This Row],[Labor Cost]:[Other Cost]])</f>
        <v>14898.654255889525</v>
      </c>
      <c r="I171" s="3">
        <f>SUMIFS(schedule[Revenue per Day], schedule[Start Date],"&lt;="&amp;day_cash[[#This Row],[Date]]-$I$2, schedule[Finish Date],"&gt;="&amp;day_cash[[#This Row],[Date]]-$I$2)</f>
        <v>20877.341053936994</v>
      </c>
      <c r="J171" s="3">
        <f>SUM(day_cash[[#Headers],[Labor Cost]]:day_cash[[#This Row],[Labor Cost]])</f>
        <v>594999.99999999988</v>
      </c>
      <c r="K171" s="3">
        <f>SUM(day_cash[[#Headers],[Material Cost]]:day_cash[[#This Row],[Material Cost]])</f>
        <v>226919.01408450672</v>
      </c>
      <c r="L171" s="3">
        <f>SUM(day_cash[[#Headers],[Equipment Cost]]:day_cash[[#This Row],[Equipment Cost]])</f>
        <v>76207.547169811165</v>
      </c>
      <c r="M171" s="3">
        <f>SUM(day_cash[[#Headers],[Sub Cost]]:day_cash[[#This Row],[Sub Cost]])</f>
        <v>366420.12601927324</v>
      </c>
      <c r="N171" s="3">
        <f>SUM(day_cash[[#Headers],[Other Cost]]:day_cash[[#This Row],[Other Cost]])</f>
        <v>50638.364779874093</v>
      </c>
      <c r="O171" s="3">
        <f>SUM(day_cash[[#This Row],[Cumulative Labor]:[Cumulative Other]])</f>
        <v>1315185.052053465</v>
      </c>
      <c r="P171" s="3">
        <f>SUM(day_cash[[#Headers],[Revenue]]:day_cash[[#This Row],[Revenue]])</f>
        <v>1328990.3209808327</v>
      </c>
    </row>
    <row r="172" spans="2:16" x14ac:dyDescent="0.45">
      <c r="B172" s="1">
        <v>46555</v>
      </c>
      <c r="C172" s="4">
        <f>SUMIFS(schedule[Labor CPP], schedule[Start Date],"&lt;="&amp;day_cash[[#This Row],[Date]], schedule[Finish Date],"&gt;="&amp;day_cash[[#This Row],[Date]])</f>
        <v>0</v>
      </c>
      <c r="D172" s="4">
        <f>SUMIFS(schedule[Material CPP], schedule[Start Date],"&lt;="&amp;day_cash[[#This Row],[Date]]-$D$2, schedule[Finish Date],"&gt;="&amp;day_cash[[#This Row],[Date]]-$D$2)</f>
        <v>1373.2394366197184</v>
      </c>
      <c r="E172" s="4">
        <f>SUMIFS(schedule[Equipment CPP], schedule[Start Date],"&lt;="&amp;day_cash[[#This Row],[Date]]-$E$2, schedule[Finish Date],"&gt;="&amp;day_cash[[#This Row],[Date]]-$E$2)</f>
        <v>471.69811320754718</v>
      </c>
      <c r="F172" s="4">
        <f>SUMIFS(schedule[Sub CPP], schedule[Start Date],"&lt;="&amp;day_cash[[#This Row],[Date]]-$F$2, schedule[Finish Date],"&gt;="&amp;day_cash[[#This Row],[Date]]-$F$2)</f>
        <v>12739.251297257228</v>
      </c>
      <c r="G172" s="3">
        <f>SUMIFS(schedule[Other CPP], schedule[Start Date],"&lt;="&amp;day_cash[[#This Row],[Date]]-$G$2, schedule[Finish Date],"&gt;="&amp;day_cash[[#This Row],[Date]]-$G$2)</f>
        <v>314.46540880503147</v>
      </c>
      <c r="H172" s="3">
        <f>SUM(day_cash[[#This Row],[Labor Cost]:[Other Cost]])</f>
        <v>14898.654255889525</v>
      </c>
      <c r="I172" s="3">
        <f>SUMIFS(schedule[Revenue per Day], schedule[Start Date],"&lt;="&amp;day_cash[[#This Row],[Date]]-$I$2, schedule[Finish Date],"&gt;="&amp;day_cash[[#This Row],[Date]]-$I$2)</f>
        <v>20877.341053936994</v>
      </c>
      <c r="J172" s="3">
        <f>SUM(day_cash[[#Headers],[Labor Cost]]:day_cash[[#This Row],[Labor Cost]])</f>
        <v>594999.99999999988</v>
      </c>
      <c r="K172" s="3">
        <f>SUM(day_cash[[#Headers],[Material Cost]]:day_cash[[#This Row],[Material Cost]])</f>
        <v>228292.25352112643</v>
      </c>
      <c r="L172" s="3">
        <f>SUM(day_cash[[#Headers],[Equipment Cost]]:day_cash[[#This Row],[Equipment Cost]])</f>
        <v>76679.24528301871</v>
      </c>
      <c r="M172" s="3">
        <f>SUM(day_cash[[#Headers],[Sub Cost]]:day_cash[[#This Row],[Sub Cost]])</f>
        <v>379159.37731653044</v>
      </c>
      <c r="N172" s="3">
        <f>SUM(day_cash[[#Headers],[Other Cost]]:day_cash[[#This Row],[Other Cost]])</f>
        <v>50952.830188679123</v>
      </c>
      <c r="O172" s="3">
        <f>SUM(day_cash[[#This Row],[Cumulative Labor]:[Cumulative Other]])</f>
        <v>1330083.7063093544</v>
      </c>
      <c r="P172" s="3">
        <f>SUM(day_cash[[#Headers],[Revenue]]:day_cash[[#This Row],[Revenue]])</f>
        <v>1349867.6620347698</v>
      </c>
    </row>
    <row r="173" spans="2:16" x14ac:dyDescent="0.45">
      <c r="B173" s="1">
        <v>46556</v>
      </c>
      <c r="C173" s="4">
        <f>SUMIFS(schedule[Labor CPP], schedule[Start Date],"&lt;="&amp;day_cash[[#This Row],[Date]], schedule[Finish Date],"&gt;="&amp;day_cash[[#This Row],[Date]])</f>
        <v>0</v>
      </c>
      <c r="D173" s="4">
        <f>SUMIFS(schedule[Material CPP], schedule[Start Date],"&lt;="&amp;day_cash[[#This Row],[Date]]-$D$2, schedule[Finish Date],"&gt;="&amp;day_cash[[#This Row],[Date]]-$D$2)</f>
        <v>1373.2394366197184</v>
      </c>
      <c r="E173" s="4">
        <f>SUMIFS(schedule[Equipment CPP], schedule[Start Date],"&lt;="&amp;day_cash[[#This Row],[Date]]-$E$2, schedule[Finish Date],"&gt;="&amp;day_cash[[#This Row],[Date]]-$E$2)</f>
        <v>471.69811320754718</v>
      </c>
      <c r="F173" s="4">
        <f>SUMIFS(schedule[Sub CPP], schedule[Start Date],"&lt;="&amp;day_cash[[#This Row],[Date]]-$F$2, schedule[Finish Date],"&gt;="&amp;day_cash[[#This Row],[Date]]-$F$2)</f>
        <v>12739.251297257228</v>
      </c>
      <c r="G173" s="3">
        <f>SUMIFS(schedule[Other CPP], schedule[Start Date],"&lt;="&amp;day_cash[[#This Row],[Date]]-$G$2, schedule[Finish Date],"&gt;="&amp;day_cash[[#This Row],[Date]]-$G$2)</f>
        <v>314.46540880503147</v>
      </c>
      <c r="H173" s="3">
        <f>SUM(day_cash[[#This Row],[Labor Cost]:[Other Cost]])</f>
        <v>14898.654255889525</v>
      </c>
      <c r="I173" s="3">
        <f>SUMIFS(schedule[Revenue per Day], schedule[Start Date],"&lt;="&amp;day_cash[[#This Row],[Date]]-$I$2, schedule[Finish Date],"&gt;="&amp;day_cash[[#This Row],[Date]]-$I$2)</f>
        <v>20877.341053936994</v>
      </c>
      <c r="J173" s="3">
        <f>SUM(day_cash[[#Headers],[Labor Cost]]:day_cash[[#This Row],[Labor Cost]])</f>
        <v>594999.99999999988</v>
      </c>
      <c r="K173" s="3">
        <f>SUM(day_cash[[#Headers],[Material Cost]]:day_cash[[#This Row],[Material Cost]])</f>
        <v>229665.49295774614</v>
      </c>
      <c r="L173" s="3">
        <f>SUM(day_cash[[#Headers],[Equipment Cost]]:day_cash[[#This Row],[Equipment Cost]])</f>
        <v>77150.943396226256</v>
      </c>
      <c r="M173" s="3">
        <f>SUM(day_cash[[#Headers],[Sub Cost]]:day_cash[[#This Row],[Sub Cost]])</f>
        <v>391898.62861378765</v>
      </c>
      <c r="N173" s="3">
        <f>SUM(day_cash[[#Headers],[Other Cost]]:day_cash[[#This Row],[Other Cost]])</f>
        <v>51267.295597484153</v>
      </c>
      <c r="O173" s="3">
        <f>SUM(day_cash[[#This Row],[Cumulative Labor]:[Cumulative Other]])</f>
        <v>1344982.360565244</v>
      </c>
      <c r="P173" s="3">
        <f>SUM(day_cash[[#Headers],[Revenue]]:day_cash[[#This Row],[Revenue]])</f>
        <v>1370745.0030887069</v>
      </c>
    </row>
    <row r="174" spans="2:16" x14ac:dyDescent="0.45">
      <c r="B174" s="1">
        <v>46557</v>
      </c>
      <c r="C174" s="4">
        <f>SUMIFS(schedule[Labor CPP], schedule[Start Date],"&lt;="&amp;day_cash[[#This Row],[Date]], schedule[Finish Date],"&gt;="&amp;day_cash[[#This Row],[Date]])</f>
        <v>0</v>
      </c>
      <c r="D174" s="4">
        <f>SUMIFS(schedule[Material CPP], schedule[Start Date],"&lt;="&amp;day_cash[[#This Row],[Date]]-$D$2, schedule[Finish Date],"&gt;="&amp;day_cash[[#This Row],[Date]]-$D$2)</f>
        <v>1373.2394366197184</v>
      </c>
      <c r="E174" s="4">
        <f>SUMIFS(schedule[Equipment CPP], schedule[Start Date],"&lt;="&amp;day_cash[[#This Row],[Date]]-$E$2, schedule[Finish Date],"&gt;="&amp;day_cash[[#This Row],[Date]]-$E$2)</f>
        <v>471.69811320754718</v>
      </c>
      <c r="F174" s="4">
        <f>SUMIFS(schedule[Sub CPP], schedule[Start Date],"&lt;="&amp;day_cash[[#This Row],[Date]]-$F$2, schedule[Finish Date],"&gt;="&amp;day_cash[[#This Row],[Date]]-$F$2)</f>
        <v>12739.251297257228</v>
      </c>
      <c r="G174" s="3">
        <f>SUMIFS(schedule[Other CPP], schedule[Start Date],"&lt;="&amp;day_cash[[#This Row],[Date]]-$G$2, schedule[Finish Date],"&gt;="&amp;day_cash[[#This Row],[Date]]-$G$2)</f>
        <v>314.46540880503147</v>
      </c>
      <c r="H174" s="3">
        <f>SUM(day_cash[[#This Row],[Labor Cost]:[Other Cost]])</f>
        <v>14898.654255889525</v>
      </c>
      <c r="I174" s="3">
        <f>SUMIFS(schedule[Revenue per Day], schedule[Start Date],"&lt;="&amp;day_cash[[#This Row],[Date]]-$I$2, schedule[Finish Date],"&gt;="&amp;day_cash[[#This Row],[Date]]-$I$2)</f>
        <v>20877.341053936994</v>
      </c>
      <c r="J174" s="3">
        <f>SUM(day_cash[[#Headers],[Labor Cost]]:day_cash[[#This Row],[Labor Cost]])</f>
        <v>594999.99999999988</v>
      </c>
      <c r="K174" s="3">
        <f>SUM(day_cash[[#Headers],[Material Cost]]:day_cash[[#This Row],[Material Cost]])</f>
        <v>231038.73239436586</v>
      </c>
      <c r="L174" s="3">
        <f>SUM(day_cash[[#Headers],[Equipment Cost]]:day_cash[[#This Row],[Equipment Cost]])</f>
        <v>77622.641509433801</v>
      </c>
      <c r="M174" s="3">
        <f>SUM(day_cash[[#Headers],[Sub Cost]]:day_cash[[#This Row],[Sub Cost]])</f>
        <v>404637.87991104485</v>
      </c>
      <c r="N174" s="3">
        <f>SUM(day_cash[[#Headers],[Other Cost]]:day_cash[[#This Row],[Other Cost]])</f>
        <v>51581.761006289184</v>
      </c>
      <c r="O174" s="3">
        <f>SUM(day_cash[[#This Row],[Cumulative Labor]:[Cumulative Other]])</f>
        <v>1359881.0148211336</v>
      </c>
      <c r="P174" s="3">
        <f>SUM(day_cash[[#Headers],[Revenue]]:day_cash[[#This Row],[Revenue]])</f>
        <v>1391622.344142644</v>
      </c>
    </row>
    <row r="175" spans="2:16" x14ac:dyDescent="0.45">
      <c r="B175" s="1">
        <v>46558</v>
      </c>
      <c r="C175" s="4">
        <f>SUMIFS(schedule[Labor CPP], schedule[Start Date],"&lt;="&amp;day_cash[[#This Row],[Date]], schedule[Finish Date],"&gt;="&amp;day_cash[[#This Row],[Date]])</f>
        <v>0</v>
      </c>
      <c r="D175" s="4">
        <f>SUMIFS(schedule[Material CPP], schedule[Start Date],"&lt;="&amp;day_cash[[#This Row],[Date]]-$D$2, schedule[Finish Date],"&gt;="&amp;day_cash[[#This Row],[Date]]-$D$2)</f>
        <v>1373.2394366197184</v>
      </c>
      <c r="E175" s="4">
        <f>SUMIFS(schedule[Equipment CPP], schedule[Start Date],"&lt;="&amp;day_cash[[#This Row],[Date]]-$E$2, schedule[Finish Date],"&gt;="&amp;day_cash[[#This Row],[Date]]-$E$2)</f>
        <v>471.69811320754718</v>
      </c>
      <c r="F175" s="4">
        <f>SUMIFS(schedule[Sub CPP], schedule[Start Date],"&lt;="&amp;day_cash[[#This Row],[Date]]-$F$2, schedule[Finish Date],"&gt;="&amp;day_cash[[#This Row],[Date]]-$F$2)</f>
        <v>12739.251297257228</v>
      </c>
      <c r="G175" s="3">
        <f>SUMIFS(schedule[Other CPP], schedule[Start Date],"&lt;="&amp;day_cash[[#This Row],[Date]]-$G$2, schedule[Finish Date],"&gt;="&amp;day_cash[[#This Row],[Date]]-$G$2)</f>
        <v>314.46540880503147</v>
      </c>
      <c r="H175" s="3">
        <f>SUM(day_cash[[#This Row],[Labor Cost]:[Other Cost]])</f>
        <v>14898.654255889525</v>
      </c>
      <c r="I175" s="3">
        <f>SUMIFS(schedule[Revenue per Day], schedule[Start Date],"&lt;="&amp;day_cash[[#This Row],[Date]]-$I$2, schedule[Finish Date],"&gt;="&amp;day_cash[[#This Row],[Date]]-$I$2)</f>
        <v>20877.341053936994</v>
      </c>
      <c r="J175" s="3">
        <f>SUM(day_cash[[#Headers],[Labor Cost]]:day_cash[[#This Row],[Labor Cost]])</f>
        <v>594999.99999999988</v>
      </c>
      <c r="K175" s="3">
        <f>SUM(day_cash[[#Headers],[Material Cost]]:day_cash[[#This Row],[Material Cost]])</f>
        <v>232411.97183098557</v>
      </c>
      <c r="L175" s="3">
        <f>SUM(day_cash[[#Headers],[Equipment Cost]]:day_cash[[#This Row],[Equipment Cost]])</f>
        <v>78094.339622641346</v>
      </c>
      <c r="M175" s="3">
        <f>SUM(day_cash[[#Headers],[Sub Cost]]:day_cash[[#This Row],[Sub Cost]])</f>
        <v>417377.13120830205</v>
      </c>
      <c r="N175" s="3">
        <f>SUM(day_cash[[#Headers],[Other Cost]]:day_cash[[#This Row],[Other Cost]])</f>
        <v>51896.226415094214</v>
      </c>
      <c r="O175" s="3">
        <f>SUM(day_cash[[#This Row],[Cumulative Labor]:[Cumulative Other]])</f>
        <v>1374779.6690770232</v>
      </c>
      <c r="P175" s="3">
        <f>SUM(day_cash[[#Headers],[Revenue]]:day_cash[[#This Row],[Revenue]])</f>
        <v>1412499.6851965811</v>
      </c>
    </row>
    <row r="176" spans="2:16" x14ac:dyDescent="0.45">
      <c r="B176" s="1">
        <v>46559</v>
      </c>
      <c r="C176" s="4">
        <f>SUMIFS(schedule[Labor CPP], schedule[Start Date],"&lt;="&amp;day_cash[[#This Row],[Date]], schedule[Finish Date],"&gt;="&amp;day_cash[[#This Row],[Date]])</f>
        <v>0</v>
      </c>
      <c r="D176" s="4">
        <f>SUMIFS(schedule[Material CPP], schedule[Start Date],"&lt;="&amp;day_cash[[#This Row],[Date]]-$D$2, schedule[Finish Date],"&gt;="&amp;day_cash[[#This Row],[Date]]-$D$2)</f>
        <v>1373.2394366197184</v>
      </c>
      <c r="E176" s="4">
        <f>SUMIFS(schedule[Equipment CPP], schedule[Start Date],"&lt;="&amp;day_cash[[#This Row],[Date]]-$E$2, schedule[Finish Date],"&gt;="&amp;day_cash[[#This Row],[Date]]-$E$2)</f>
        <v>471.69811320754718</v>
      </c>
      <c r="F176" s="4">
        <f>SUMIFS(schedule[Sub CPP], schedule[Start Date],"&lt;="&amp;day_cash[[#This Row],[Date]]-$F$2, schedule[Finish Date],"&gt;="&amp;day_cash[[#This Row],[Date]]-$F$2)</f>
        <v>12739.251297257228</v>
      </c>
      <c r="G176" s="3">
        <f>SUMIFS(schedule[Other CPP], schedule[Start Date],"&lt;="&amp;day_cash[[#This Row],[Date]]-$G$2, schedule[Finish Date],"&gt;="&amp;day_cash[[#This Row],[Date]]-$G$2)</f>
        <v>314.46540880503147</v>
      </c>
      <c r="H176" s="3">
        <f>SUM(day_cash[[#This Row],[Labor Cost]:[Other Cost]])</f>
        <v>14898.654255889525</v>
      </c>
      <c r="I176" s="3">
        <f>SUMIFS(schedule[Revenue per Day], schedule[Start Date],"&lt;="&amp;day_cash[[#This Row],[Date]]-$I$2, schedule[Finish Date],"&gt;="&amp;day_cash[[#This Row],[Date]]-$I$2)</f>
        <v>20877.341053936994</v>
      </c>
      <c r="J176" s="3">
        <f>SUM(day_cash[[#Headers],[Labor Cost]]:day_cash[[#This Row],[Labor Cost]])</f>
        <v>594999.99999999988</v>
      </c>
      <c r="K176" s="3">
        <f>SUM(day_cash[[#Headers],[Material Cost]]:day_cash[[#This Row],[Material Cost]])</f>
        <v>233785.21126760528</v>
      </c>
      <c r="L176" s="3">
        <f>SUM(day_cash[[#Headers],[Equipment Cost]]:day_cash[[#This Row],[Equipment Cost]])</f>
        <v>78566.037735848891</v>
      </c>
      <c r="M176" s="3">
        <f>SUM(day_cash[[#Headers],[Sub Cost]]:day_cash[[#This Row],[Sub Cost]])</f>
        <v>430116.38250555925</v>
      </c>
      <c r="N176" s="3">
        <f>SUM(day_cash[[#Headers],[Other Cost]]:day_cash[[#This Row],[Other Cost]])</f>
        <v>52210.691823899244</v>
      </c>
      <c r="O176" s="3">
        <f>SUM(day_cash[[#This Row],[Cumulative Labor]:[Cumulative Other]])</f>
        <v>1389678.3233329128</v>
      </c>
      <c r="P176" s="3">
        <f>SUM(day_cash[[#Headers],[Revenue]]:day_cash[[#This Row],[Revenue]])</f>
        <v>1433377.0262505182</v>
      </c>
    </row>
    <row r="177" spans="2:16" x14ac:dyDescent="0.45">
      <c r="B177" s="1">
        <v>46560</v>
      </c>
      <c r="C177" s="4">
        <f>SUMIFS(schedule[Labor CPP], schedule[Start Date],"&lt;="&amp;day_cash[[#This Row],[Date]], schedule[Finish Date],"&gt;="&amp;day_cash[[#This Row],[Date]])</f>
        <v>0</v>
      </c>
      <c r="D177" s="4">
        <f>SUMIFS(schedule[Material CPP], schedule[Start Date],"&lt;="&amp;day_cash[[#This Row],[Date]]-$D$2, schedule[Finish Date],"&gt;="&amp;day_cash[[#This Row],[Date]]-$D$2)</f>
        <v>1373.2394366197184</v>
      </c>
      <c r="E177" s="4">
        <f>SUMIFS(schedule[Equipment CPP], schedule[Start Date],"&lt;="&amp;day_cash[[#This Row],[Date]]-$E$2, schedule[Finish Date],"&gt;="&amp;day_cash[[#This Row],[Date]]-$E$2)</f>
        <v>471.69811320754718</v>
      </c>
      <c r="F177" s="4">
        <f>SUMIFS(schedule[Sub CPP], schedule[Start Date],"&lt;="&amp;day_cash[[#This Row],[Date]]-$F$2, schedule[Finish Date],"&gt;="&amp;day_cash[[#This Row],[Date]]-$F$2)</f>
        <v>12739.251297257228</v>
      </c>
      <c r="G177" s="3">
        <f>SUMIFS(schedule[Other CPP], schedule[Start Date],"&lt;="&amp;day_cash[[#This Row],[Date]]-$G$2, schedule[Finish Date],"&gt;="&amp;day_cash[[#This Row],[Date]]-$G$2)</f>
        <v>314.46540880503147</v>
      </c>
      <c r="H177" s="3">
        <f>SUM(day_cash[[#This Row],[Labor Cost]:[Other Cost]])</f>
        <v>14898.654255889525</v>
      </c>
      <c r="I177" s="3">
        <f>SUMIFS(schedule[Revenue per Day], schedule[Start Date],"&lt;="&amp;day_cash[[#This Row],[Date]]-$I$2, schedule[Finish Date],"&gt;="&amp;day_cash[[#This Row],[Date]]-$I$2)</f>
        <v>20877.341053936994</v>
      </c>
      <c r="J177" s="3">
        <f>SUM(day_cash[[#Headers],[Labor Cost]]:day_cash[[#This Row],[Labor Cost]])</f>
        <v>594999.99999999988</v>
      </c>
      <c r="K177" s="3">
        <f>SUM(day_cash[[#Headers],[Material Cost]]:day_cash[[#This Row],[Material Cost]])</f>
        <v>235158.45070422499</v>
      </c>
      <c r="L177" s="3">
        <f>SUM(day_cash[[#Headers],[Equipment Cost]]:day_cash[[#This Row],[Equipment Cost]])</f>
        <v>79037.735849056437</v>
      </c>
      <c r="M177" s="3">
        <f>SUM(day_cash[[#Headers],[Sub Cost]]:day_cash[[#This Row],[Sub Cost]])</f>
        <v>442855.63380281645</v>
      </c>
      <c r="N177" s="3">
        <f>SUM(day_cash[[#Headers],[Other Cost]]:day_cash[[#This Row],[Other Cost]])</f>
        <v>52525.157232704274</v>
      </c>
      <c r="O177" s="3">
        <f>SUM(day_cash[[#This Row],[Cumulative Labor]:[Cumulative Other]])</f>
        <v>1404576.9775888021</v>
      </c>
      <c r="P177" s="3">
        <f>SUM(day_cash[[#Headers],[Revenue]]:day_cash[[#This Row],[Revenue]])</f>
        <v>1454254.3673044553</v>
      </c>
    </row>
    <row r="178" spans="2:16" x14ac:dyDescent="0.45">
      <c r="B178" s="1">
        <v>46561</v>
      </c>
      <c r="C178" s="4">
        <f>SUMIFS(schedule[Labor CPP], schedule[Start Date],"&lt;="&amp;day_cash[[#This Row],[Date]], schedule[Finish Date],"&gt;="&amp;day_cash[[#This Row],[Date]])</f>
        <v>0</v>
      </c>
      <c r="D178" s="4">
        <f>SUMIFS(schedule[Material CPP], schedule[Start Date],"&lt;="&amp;day_cash[[#This Row],[Date]]-$D$2, schedule[Finish Date],"&gt;="&amp;day_cash[[#This Row],[Date]]-$D$2)</f>
        <v>1373.2394366197184</v>
      </c>
      <c r="E178" s="4">
        <f>SUMIFS(schedule[Equipment CPP], schedule[Start Date],"&lt;="&amp;day_cash[[#This Row],[Date]]-$E$2, schedule[Finish Date],"&gt;="&amp;day_cash[[#This Row],[Date]]-$E$2)</f>
        <v>471.69811320754718</v>
      </c>
      <c r="F178" s="4">
        <f>SUMIFS(schedule[Sub CPP], schedule[Start Date],"&lt;="&amp;day_cash[[#This Row],[Date]]-$F$2, schedule[Finish Date],"&gt;="&amp;day_cash[[#This Row],[Date]]-$F$2)</f>
        <v>9186.6197183098593</v>
      </c>
      <c r="G178" s="3">
        <f>SUMIFS(schedule[Other CPP], schedule[Start Date],"&lt;="&amp;day_cash[[#This Row],[Date]]-$G$2, schedule[Finish Date],"&gt;="&amp;day_cash[[#This Row],[Date]]-$G$2)</f>
        <v>314.46540880503147</v>
      </c>
      <c r="H178" s="3">
        <f>SUM(day_cash[[#This Row],[Labor Cost]:[Other Cost]])</f>
        <v>11346.022676942157</v>
      </c>
      <c r="I178" s="3">
        <f>SUMIFS(schedule[Revenue per Day], schedule[Start Date],"&lt;="&amp;day_cash[[#This Row],[Date]]-$I$2, schedule[Finish Date],"&gt;="&amp;day_cash[[#This Row],[Date]]-$I$2)</f>
        <v>16756.288422358048</v>
      </c>
      <c r="J178" s="3">
        <f>SUM(day_cash[[#Headers],[Labor Cost]]:day_cash[[#This Row],[Labor Cost]])</f>
        <v>594999.99999999988</v>
      </c>
      <c r="K178" s="3">
        <f>SUM(day_cash[[#Headers],[Material Cost]]:day_cash[[#This Row],[Material Cost]])</f>
        <v>236531.6901408447</v>
      </c>
      <c r="L178" s="3">
        <f>SUM(day_cash[[#Headers],[Equipment Cost]]:day_cash[[#This Row],[Equipment Cost]])</f>
        <v>79509.433962263982</v>
      </c>
      <c r="M178" s="3">
        <f>SUM(day_cash[[#Headers],[Sub Cost]]:day_cash[[#This Row],[Sub Cost]])</f>
        <v>452042.25352112629</v>
      </c>
      <c r="N178" s="3">
        <f>SUM(day_cash[[#Headers],[Other Cost]]:day_cash[[#This Row],[Other Cost]])</f>
        <v>52839.622641509304</v>
      </c>
      <c r="O178" s="3">
        <f>SUM(day_cash[[#This Row],[Cumulative Labor]:[Cumulative Other]])</f>
        <v>1415923.0002657443</v>
      </c>
      <c r="P178" s="3">
        <f>SUM(day_cash[[#Headers],[Revenue]]:day_cash[[#This Row],[Revenue]])</f>
        <v>1471010.6557268132</v>
      </c>
    </row>
    <row r="179" spans="2:16" x14ac:dyDescent="0.45">
      <c r="B179" s="1">
        <v>46562</v>
      </c>
      <c r="C179" s="4">
        <f>SUMIFS(schedule[Labor CPP], schedule[Start Date],"&lt;="&amp;day_cash[[#This Row],[Date]], schedule[Finish Date],"&gt;="&amp;day_cash[[#This Row],[Date]])</f>
        <v>0</v>
      </c>
      <c r="D179" s="4">
        <f>SUMIFS(schedule[Material CPP], schedule[Start Date],"&lt;="&amp;day_cash[[#This Row],[Date]]-$D$2, schedule[Finish Date],"&gt;="&amp;day_cash[[#This Row],[Date]]-$D$2)</f>
        <v>1373.2394366197184</v>
      </c>
      <c r="E179" s="4">
        <f>SUMIFS(schedule[Equipment CPP], schedule[Start Date],"&lt;="&amp;day_cash[[#This Row],[Date]]-$E$2, schedule[Finish Date],"&gt;="&amp;day_cash[[#This Row],[Date]]-$E$2)</f>
        <v>471.69811320754718</v>
      </c>
      <c r="F179" s="4">
        <f>SUMIFS(schedule[Sub CPP], schedule[Start Date],"&lt;="&amp;day_cash[[#This Row],[Date]]-$F$2, schedule[Finish Date],"&gt;="&amp;day_cash[[#This Row],[Date]]-$F$2)</f>
        <v>9186.6197183098593</v>
      </c>
      <c r="G179" s="3">
        <f>SUMIFS(schedule[Other CPP], schedule[Start Date],"&lt;="&amp;day_cash[[#This Row],[Date]]-$G$2, schedule[Finish Date],"&gt;="&amp;day_cash[[#This Row],[Date]]-$G$2)</f>
        <v>314.46540880503147</v>
      </c>
      <c r="H179" s="3">
        <f>SUM(day_cash[[#This Row],[Labor Cost]:[Other Cost]])</f>
        <v>11346.022676942157</v>
      </c>
      <c r="I179" s="3">
        <f>SUMIFS(schedule[Revenue per Day], schedule[Start Date],"&lt;="&amp;day_cash[[#This Row],[Date]]-$I$2, schedule[Finish Date],"&gt;="&amp;day_cash[[#This Row],[Date]]-$I$2)</f>
        <v>16756.288422358048</v>
      </c>
      <c r="J179" s="3">
        <f>SUM(day_cash[[#Headers],[Labor Cost]]:day_cash[[#This Row],[Labor Cost]])</f>
        <v>594999.99999999988</v>
      </c>
      <c r="K179" s="3">
        <f>SUM(day_cash[[#Headers],[Material Cost]]:day_cash[[#This Row],[Material Cost]])</f>
        <v>237904.92957746441</v>
      </c>
      <c r="L179" s="3">
        <f>SUM(day_cash[[#Headers],[Equipment Cost]]:day_cash[[#This Row],[Equipment Cost]])</f>
        <v>79981.132075471527</v>
      </c>
      <c r="M179" s="3">
        <f>SUM(day_cash[[#Headers],[Sub Cost]]:day_cash[[#This Row],[Sub Cost]])</f>
        <v>461228.87323943613</v>
      </c>
      <c r="N179" s="3">
        <f>SUM(day_cash[[#Headers],[Other Cost]]:day_cash[[#This Row],[Other Cost]])</f>
        <v>53154.088050314334</v>
      </c>
      <c r="O179" s="3">
        <f>SUM(day_cash[[#This Row],[Cumulative Labor]:[Cumulative Other]])</f>
        <v>1427269.0229426862</v>
      </c>
      <c r="P179" s="3">
        <f>SUM(day_cash[[#Headers],[Revenue]]:day_cash[[#This Row],[Revenue]])</f>
        <v>1487766.9441491712</v>
      </c>
    </row>
    <row r="180" spans="2:16" x14ac:dyDescent="0.45">
      <c r="B180" s="1">
        <v>46563</v>
      </c>
      <c r="C180" s="4">
        <f>SUMIFS(schedule[Labor CPP], schedule[Start Date],"&lt;="&amp;day_cash[[#This Row],[Date]], schedule[Finish Date],"&gt;="&amp;day_cash[[#This Row],[Date]])</f>
        <v>0</v>
      </c>
      <c r="D180" s="4">
        <f>SUMIFS(schedule[Material CPP], schedule[Start Date],"&lt;="&amp;day_cash[[#This Row],[Date]]-$D$2, schedule[Finish Date],"&gt;="&amp;day_cash[[#This Row],[Date]]-$D$2)</f>
        <v>1373.2394366197184</v>
      </c>
      <c r="E180" s="4">
        <f>SUMIFS(schedule[Equipment CPP], schedule[Start Date],"&lt;="&amp;day_cash[[#This Row],[Date]]-$E$2, schedule[Finish Date],"&gt;="&amp;day_cash[[#This Row],[Date]]-$E$2)</f>
        <v>471.69811320754718</v>
      </c>
      <c r="F180" s="4">
        <f>SUMIFS(schedule[Sub CPP], schedule[Start Date],"&lt;="&amp;day_cash[[#This Row],[Date]]-$F$2, schedule[Finish Date],"&gt;="&amp;day_cash[[#This Row],[Date]]-$F$2)</f>
        <v>9186.6197183098593</v>
      </c>
      <c r="G180" s="3">
        <f>SUMIFS(schedule[Other CPP], schedule[Start Date],"&lt;="&amp;day_cash[[#This Row],[Date]]-$G$2, schedule[Finish Date],"&gt;="&amp;day_cash[[#This Row],[Date]]-$G$2)</f>
        <v>314.46540880503147</v>
      </c>
      <c r="H180" s="3">
        <f>SUM(day_cash[[#This Row],[Labor Cost]:[Other Cost]])</f>
        <v>11346.022676942157</v>
      </c>
      <c r="I180" s="3">
        <f>SUMIFS(schedule[Revenue per Day], schedule[Start Date],"&lt;="&amp;day_cash[[#This Row],[Date]]-$I$2, schedule[Finish Date],"&gt;="&amp;day_cash[[#This Row],[Date]]-$I$2)</f>
        <v>16756.288422358048</v>
      </c>
      <c r="J180" s="3">
        <f>SUM(day_cash[[#Headers],[Labor Cost]]:day_cash[[#This Row],[Labor Cost]])</f>
        <v>594999.99999999988</v>
      </c>
      <c r="K180" s="3">
        <f>SUM(day_cash[[#Headers],[Material Cost]]:day_cash[[#This Row],[Material Cost]])</f>
        <v>239278.16901408412</v>
      </c>
      <c r="L180" s="3">
        <f>SUM(day_cash[[#Headers],[Equipment Cost]]:day_cash[[#This Row],[Equipment Cost]])</f>
        <v>80452.830188679072</v>
      </c>
      <c r="M180" s="3">
        <f>SUM(day_cash[[#Headers],[Sub Cost]]:day_cash[[#This Row],[Sub Cost]])</f>
        <v>470415.49295774597</v>
      </c>
      <c r="N180" s="3">
        <f>SUM(day_cash[[#Headers],[Other Cost]]:day_cash[[#This Row],[Other Cost]])</f>
        <v>53468.553459119365</v>
      </c>
      <c r="O180" s="3">
        <f>SUM(day_cash[[#This Row],[Cumulative Labor]:[Cumulative Other]])</f>
        <v>1438615.0456196284</v>
      </c>
      <c r="P180" s="3">
        <f>SUM(day_cash[[#Headers],[Revenue]]:day_cash[[#This Row],[Revenue]])</f>
        <v>1504523.2325715292</v>
      </c>
    </row>
    <row r="181" spans="2:16" x14ac:dyDescent="0.45">
      <c r="B181" s="1">
        <v>46564</v>
      </c>
      <c r="C181" s="4">
        <f>SUMIFS(schedule[Labor CPP], schedule[Start Date],"&lt;="&amp;day_cash[[#This Row],[Date]], schedule[Finish Date],"&gt;="&amp;day_cash[[#This Row],[Date]])</f>
        <v>0</v>
      </c>
      <c r="D181" s="4">
        <f>SUMIFS(schedule[Material CPP], schedule[Start Date],"&lt;="&amp;day_cash[[#This Row],[Date]]-$D$2, schedule[Finish Date],"&gt;="&amp;day_cash[[#This Row],[Date]]-$D$2)</f>
        <v>1373.2394366197184</v>
      </c>
      <c r="E181" s="4">
        <f>SUMIFS(schedule[Equipment CPP], schedule[Start Date],"&lt;="&amp;day_cash[[#This Row],[Date]]-$E$2, schedule[Finish Date],"&gt;="&amp;day_cash[[#This Row],[Date]]-$E$2)</f>
        <v>471.69811320754718</v>
      </c>
      <c r="F181" s="4">
        <f>SUMIFS(schedule[Sub CPP], schedule[Start Date],"&lt;="&amp;day_cash[[#This Row],[Date]]-$F$2, schedule[Finish Date],"&gt;="&amp;day_cash[[#This Row],[Date]]-$F$2)</f>
        <v>9186.6197183098593</v>
      </c>
      <c r="G181" s="3">
        <f>SUMIFS(schedule[Other CPP], schedule[Start Date],"&lt;="&amp;day_cash[[#This Row],[Date]]-$G$2, schedule[Finish Date],"&gt;="&amp;day_cash[[#This Row],[Date]]-$G$2)</f>
        <v>314.46540880503147</v>
      </c>
      <c r="H181" s="3">
        <f>SUM(day_cash[[#This Row],[Labor Cost]:[Other Cost]])</f>
        <v>11346.022676942157</v>
      </c>
      <c r="I181" s="3">
        <f>SUMIFS(schedule[Revenue per Day], schedule[Start Date],"&lt;="&amp;day_cash[[#This Row],[Date]]-$I$2, schedule[Finish Date],"&gt;="&amp;day_cash[[#This Row],[Date]]-$I$2)</f>
        <v>16756.288422358048</v>
      </c>
      <c r="J181" s="3">
        <f>SUM(day_cash[[#Headers],[Labor Cost]]:day_cash[[#This Row],[Labor Cost]])</f>
        <v>594999.99999999988</v>
      </c>
      <c r="K181" s="3">
        <f>SUM(day_cash[[#Headers],[Material Cost]]:day_cash[[#This Row],[Material Cost]])</f>
        <v>240651.40845070384</v>
      </c>
      <c r="L181" s="3">
        <f>SUM(day_cash[[#Headers],[Equipment Cost]]:day_cash[[#This Row],[Equipment Cost]])</f>
        <v>80924.528301886618</v>
      </c>
      <c r="M181" s="3">
        <f>SUM(day_cash[[#Headers],[Sub Cost]]:day_cash[[#This Row],[Sub Cost]])</f>
        <v>479602.11267605581</v>
      </c>
      <c r="N181" s="3">
        <f>SUM(day_cash[[#Headers],[Other Cost]]:day_cash[[#This Row],[Other Cost]])</f>
        <v>53783.018867924395</v>
      </c>
      <c r="O181" s="3">
        <f>SUM(day_cash[[#This Row],[Cumulative Labor]:[Cumulative Other]])</f>
        <v>1449961.0682965706</v>
      </c>
      <c r="P181" s="3">
        <f>SUM(day_cash[[#Headers],[Revenue]]:day_cash[[#This Row],[Revenue]])</f>
        <v>1521279.5209938872</v>
      </c>
    </row>
    <row r="182" spans="2:16" x14ac:dyDescent="0.45">
      <c r="B182" s="1">
        <v>46565</v>
      </c>
      <c r="C182" s="4">
        <f>SUMIFS(schedule[Labor CPP], schedule[Start Date],"&lt;="&amp;day_cash[[#This Row],[Date]], schedule[Finish Date],"&gt;="&amp;day_cash[[#This Row],[Date]])</f>
        <v>0</v>
      </c>
      <c r="D182" s="4">
        <f>SUMIFS(schedule[Material CPP], schedule[Start Date],"&lt;="&amp;day_cash[[#This Row],[Date]]-$D$2, schedule[Finish Date],"&gt;="&amp;day_cash[[#This Row],[Date]]-$D$2)</f>
        <v>1373.2394366197184</v>
      </c>
      <c r="E182" s="4">
        <f>SUMIFS(schedule[Equipment CPP], schedule[Start Date],"&lt;="&amp;day_cash[[#This Row],[Date]]-$E$2, schedule[Finish Date],"&gt;="&amp;day_cash[[#This Row],[Date]]-$E$2)</f>
        <v>471.69811320754718</v>
      </c>
      <c r="F182" s="4">
        <f>SUMIFS(schedule[Sub CPP], schedule[Start Date],"&lt;="&amp;day_cash[[#This Row],[Date]]-$F$2, schedule[Finish Date],"&gt;="&amp;day_cash[[#This Row],[Date]]-$F$2)</f>
        <v>9186.6197183098593</v>
      </c>
      <c r="G182" s="3">
        <f>SUMIFS(schedule[Other CPP], schedule[Start Date],"&lt;="&amp;day_cash[[#This Row],[Date]]-$G$2, schedule[Finish Date],"&gt;="&amp;day_cash[[#This Row],[Date]]-$G$2)</f>
        <v>314.46540880503147</v>
      </c>
      <c r="H182" s="3">
        <f>SUM(day_cash[[#This Row],[Labor Cost]:[Other Cost]])</f>
        <v>11346.022676942157</v>
      </c>
      <c r="I182" s="3">
        <f>SUMIFS(schedule[Revenue per Day], schedule[Start Date],"&lt;="&amp;day_cash[[#This Row],[Date]]-$I$2, schedule[Finish Date],"&gt;="&amp;day_cash[[#This Row],[Date]]-$I$2)</f>
        <v>16756.288422358048</v>
      </c>
      <c r="J182" s="3">
        <f>SUM(day_cash[[#Headers],[Labor Cost]]:day_cash[[#This Row],[Labor Cost]])</f>
        <v>594999.99999999988</v>
      </c>
      <c r="K182" s="3">
        <f>SUM(day_cash[[#Headers],[Material Cost]]:day_cash[[#This Row],[Material Cost]])</f>
        <v>242024.64788732355</v>
      </c>
      <c r="L182" s="3">
        <f>SUM(day_cash[[#Headers],[Equipment Cost]]:day_cash[[#This Row],[Equipment Cost]])</f>
        <v>81396.226415094163</v>
      </c>
      <c r="M182" s="3">
        <f>SUM(day_cash[[#Headers],[Sub Cost]]:day_cash[[#This Row],[Sub Cost]])</f>
        <v>488788.73239436565</v>
      </c>
      <c r="N182" s="3">
        <f>SUM(day_cash[[#Headers],[Other Cost]]:day_cash[[#This Row],[Other Cost]])</f>
        <v>54097.484276729425</v>
      </c>
      <c r="O182" s="3">
        <f>SUM(day_cash[[#This Row],[Cumulative Labor]:[Cumulative Other]])</f>
        <v>1461307.0909735125</v>
      </c>
      <c r="P182" s="3">
        <f>SUM(day_cash[[#Headers],[Revenue]]:day_cash[[#This Row],[Revenue]])</f>
        <v>1538035.8094162452</v>
      </c>
    </row>
    <row r="183" spans="2:16" x14ac:dyDescent="0.45">
      <c r="B183" s="1">
        <v>46566</v>
      </c>
      <c r="C183" s="4">
        <f>SUMIFS(schedule[Labor CPP], schedule[Start Date],"&lt;="&amp;day_cash[[#This Row],[Date]], schedule[Finish Date],"&gt;="&amp;day_cash[[#This Row],[Date]])</f>
        <v>0</v>
      </c>
      <c r="D183" s="4">
        <f>SUMIFS(schedule[Material CPP], schedule[Start Date],"&lt;="&amp;day_cash[[#This Row],[Date]]-$D$2, schedule[Finish Date],"&gt;="&amp;day_cash[[#This Row],[Date]]-$D$2)</f>
        <v>1373.2394366197184</v>
      </c>
      <c r="E183" s="4">
        <f>SUMIFS(schedule[Equipment CPP], schedule[Start Date],"&lt;="&amp;day_cash[[#This Row],[Date]]-$E$2, schedule[Finish Date],"&gt;="&amp;day_cash[[#This Row],[Date]]-$E$2)</f>
        <v>471.69811320754718</v>
      </c>
      <c r="F183" s="4">
        <f>SUMIFS(schedule[Sub CPP], schedule[Start Date],"&lt;="&amp;day_cash[[#This Row],[Date]]-$F$2, schedule[Finish Date],"&gt;="&amp;day_cash[[#This Row],[Date]]-$F$2)</f>
        <v>9186.6197183098593</v>
      </c>
      <c r="G183" s="3">
        <f>SUMIFS(schedule[Other CPP], schedule[Start Date],"&lt;="&amp;day_cash[[#This Row],[Date]]-$G$2, schedule[Finish Date],"&gt;="&amp;day_cash[[#This Row],[Date]]-$G$2)</f>
        <v>314.46540880503147</v>
      </c>
      <c r="H183" s="3">
        <f>SUM(day_cash[[#This Row],[Labor Cost]:[Other Cost]])</f>
        <v>11346.022676942157</v>
      </c>
      <c r="I183" s="3">
        <f>SUMIFS(schedule[Revenue per Day], schedule[Start Date],"&lt;="&amp;day_cash[[#This Row],[Date]]-$I$2, schedule[Finish Date],"&gt;="&amp;day_cash[[#This Row],[Date]]-$I$2)</f>
        <v>16756.288422358048</v>
      </c>
      <c r="J183" s="3">
        <f>SUM(day_cash[[#Headers],[Labor Cost]]:day_cash[[#This Row],[Labor Cost]])</f>
        <v>594999.99999999988</v>
      </c>
      <c r="K183" s="3">
        <f>SUM(day_cash[[#Headers],[Material Cost]]:day_cash[[#This Row],[Material Cost]])</f>
        <v>243397.88732394326</v>
      </c>
      <c r="L183" s="3">
        <f>SUM(day_cash[[#Headers],[Equipment Cost]]:day_cash[[#This Row],[Equipment Cost]])</f>
        <v>81867.924528301708</v>
      </c>
      <c r="M183" s="3">
        <f>SUM(day_cash[[#Headers],[Sub Cost]]:day_cash[[#This Row],[Sub Cost]])</f>
        <v>497975.35211267549</v>
      </c>
      <c r="N183" s="3">
        <f>SUM(day_cash[[#Headers],[Other Cost]]:day_cash[[#This Row],[Other Cost]])</f>
        <v>54411.949685534455</v>
      </c>
      <c r="O183" s="3">
        <f>SUM(day_cash[[#This Row],[Cumulative Labor]:[Cumulative Other]])</f>
        <v>1472653.1136504549</v>
      </c>
      <c r="P183" s="3">
        <f>SUM(day_cash[[#Headers],[Revenue]]:day_cash[[#This Row],[Revenue]])</f>
        <v>1554792.0978386032</v>
      </c>
    </row>
    <row r="184" spans="2:16" x14ac:dyDescent="0.45">
      <c r="B184" s="1">
        <v>46567</v>
      </c>
      <c r="C184" s="4">
        <f>SUMIFS(schedule[Labor CPP], schedule[Start Date],"&lt;="&amp;day_cash[[#This Row],[Date]], schedule[Finish Date],"&gt;="&amp;day_cash[[#This Row],[Date]])</f>
        <v>0</v>
      </c>
      <c r="D184" s="4">
        <f>SUMIFS(schedule[Material CPP], schedule[Start Date],"&lt;="&amp;day_cash[[#This Row],[Date]]-$D$2, schedule[Finish Date],"&gt;="&amp;day_cash[[#This Row],[Date]]-$D$2)</f>
        <v>1373.2394366197184</v>
      </c>
      <c r="E184" s="4">
        <f>SUMIFS(schedule[Equipment CPP], schedule[Start Date],"&lt;="&amp;day_cash[[#This Row],[Date]]-$E$2, schedule[Finish Date],"&gt;="&amp;day_cash[[#This Row],[Date]]-$E$2)</f>
        <v>471.69811320754718</v>
      </c>
      <c r="F184" s="4">
        <f>SUMIFS(schedule[Sub CPP], schedule[Start Date],"&lt;="&amp;day_cash[[#This Row],[Date]]-$F$2, schedule[Finish Date],"&gt;="&amp;day_cash[[#This Row],[Date]]-$F$2)</f>
        <v>9186.6197183098593</v>
      </c>
      <c r="G184" s="3">
        <f>SUMIFS(schedule[Other CPP], schedule[Start Date],"&lt;="&amp;day_cash[[#This Row],[Date]]-$G$2, schedule[Finish Date],"&gt;="&amp;day_cash[[#This Row],[Date]]-$G$2)</f>
        <v>314.46540880503147</v>
      </c>
      <c r="H184" s="3">
        <f>SUM(day_cash[[#This Row],[Labor Cost]:[Other Cost]])</f>
        <v>11346.022676942157</v>
      </c>
      <c r="I184" s="3">
        <f>SUMIFS(schedule[Revenue per Day], schedule[Start Date],"&lt;="&amp;day_cash[[#This Row],[Date]]-$I$2, schedule[Finish Date],"&gt;="&amp;day_cash[[#This Row],[Date]]-$I$2)</f>
        <v>16756.288422358048</v>
      </c>
      <c r="J184" s="3">
        <f>SUM(day_cash[[#Headers],[Labor Cost]]:day_cash[[#This Row],[Labor Cost]])</f>
        <v>594999.99999999988</v>
      </c>
      <c r="K184" s="3">
        <f>SUM(day_cash[[#Headers],[Material Cost]]:day_cash[[#This Row],[Material Cost]])</f>
        <v>244771.12676056297</v>
      </c>
      <c r="L184" s="3">
        <f>SUM(day_cash[[#Headers],[Equipment Cost]]:day_cash[[#This Row],[Equipment Cost]])</f>
        <v>82339.622641509253</v>
      </c>
      <c r="M184" s="3">
        <f>SUM(day_cash[[#Headers],[Sub Cost]]:day_cash[[#This Row],[Sub Cost]])</f>
        <v>507161.97183098533</v>
      </c>
      <c r="N184" s="3">
        <f>SUM(day_cash[[#Headers],[Other Cost]]:day_cash[[#This Row],[Other Cost]])</f>
        <v>54726.415094339485</v>
      </c>
      <c r="O184" s="3">
        <f>SUM(day_cash[[#This Row],[Cumulative Labor]:[Cumulative Other]])</f>
        <v>1483999.1363273971</v>
      </c>
      <c r="P184" s="3">
        <f>SUM(day_cash[[#Headers],[Revenue]]:day_cash[[#This Row],[Revenue]])</f>
        <v>1571548.3862609612</v>
      </c>
    </row>
    <row r="185" spans="2:16" x14ac:dyDescent="0.45">
      <c r="B185" s="1">
        <v>46568</v>
      </c>
      <c r="C185" s="4">
        <f>SUMIFS(schedule[Labor CPP], schedule[Start Date],"&lt;="&amp;day_cash[[#This Row],[Date]], schedule[Finish Date],"&gt;="&amp;day_cash[[#This Row],[Date]])</f>
        <v>0</v>
      </c>
      <c r="D185" s="4">
        <f>SUMIFS(schedule[Material CPP], schedule[Start Date],"&lt;="&amp;day_cash[[#This Row],[Date]]-$D$2, schedule[Finish Date],"&gt;="&amp;day_cash[[#This Row],[Date]]-$D$2)</f>
        <v>1373.2394366197184</v>
      </c>
      <c r="E185" s="4">
        <f>SUMIFS(schedule[Equipment CPP], schedule[Start Date],"&lt;="&amp;day_cash[[#This Row],[Date]]-$E$2, schedule[Finish Date],"&gt;="&amp;day_cash[[#This Row],[Date]]-$E$2)</f>
        <v>471.69811320754718</v>
      </c>
      <c r="F185" s="4">
        <f>SUMIFS(schedule[Sub CPP], schedule[Start Date],"&lt;="&amp;day_cash[[#This Row],[Date]]-$F$2, schedule[Finish Date],"&gt;="&amp;day_cash[[#This Row],[Date]]-$F$2)</f>
        <v>1936.6197183098591</v>
      </c>
      <c r="G185" s="3">
        <f>SUMIFS(schedule[Other CPP], schedule[Start Date],"&lt;="&amp;day_cash[[#This Row],[Date]]-$G$2, schedule[Finish Date],"&gt;="&amp;day_cash[[#This Row],[Date]]-$G$2)</f>
        <v>314.46540880503147</v>
      </c>
      <c r="H185" s="3">
        <f>SUM(day_cash[[#This Row],[Labor Cost]:[Other Cost]])</f>
        <v>4096.0226769421561</v>
      </c>
      <c r="I185" s="3">
        <f>SUMIFS(schedule[Revenue per Day], schedule[Start Date],"&lt;="&amp;day_cash[[#This Row],[Date]]-$I$2, schedule[Finish Date],"&gt;="&amp;day_cash[[#This Row],[Date]]-$I$2)</f>
        <v>8346.2884223580477</v>
      </c>
      <c r="J185" s="3">
        <f>SUM(day_cash[[#Headers],[Labor Cost]]:day_cash[[#This Row],[Labor Cost]])</f>
        <v>594999.99999999988</v>
      </c>
      <c r="K185" s="3">
        <f>SUM(day_cash[[#Headers],[Material Cost]]:day_cash[[#This Row],[Material Cost]])</f>
        <v>246144.36619718268</v>
      </c>
      <c r="L185" s="3">
        <f>SUM(day_cash[[#Headers],[Equipment Cost]]:day_cash[[#This Row],[Equipment Cost]])</f>
        <v>82811.320754716799</v>
      </c>
      <c r="M185" s="3">
        <f>SUM(day_cash[[#Headers],[Sub Cost]]:day_cash[[#This Row],[Sub Cost]])</f>
        <v>509098.59154929518</v>
      </c>
      <c r="N185" s="3">
        <f>SUM(day_cash[[#Headers],[Other Cost]]:day_cash[[#This Row],[Other Cost]])</f>
        <v>55040.880503144515</v>
      </c>
      <c r="O185" s="3">
        <f>SUM(day_cash[[#This Row],[Cumulative Labor]:[Cumulative Other]])</f>
        <v>1488095.159004339</v>
      </c>
      <c r="P185" s="3">
        <f>SUM(day_cash[[#Headers],[Revenue]]:day_cash[[#This Row],[Revenue]])</f>
        <v>1579894.6746833192</v>
      </c>
    </row>
    <row r="186" spans="2:16" x14ac:dyDescent="0.45">
      <c r="B186" s="1">
        <v>46569</v>
      </c>
      <c r="C186" s="4">
        <f>SUMIFS(schedule[Labor CPP], schedule[Start Date],"&lt;="&amp;day_cash[[#This Row],[Date]], schedule[Finish Date],"&gt;="&amp;day_cash[[#This Row],[Date]])</f>
        <v>0</v>
      </c>
      <c r="D186" s="4">
        <f>SUMIFS(schedule[Material CPP], schedule[Start Date],"&lt;="&amp;day_cash[[#This Row],[Date]]-$D$2, schedule[Finish Date],"&gt;="&amp;day_cash[[#This Row],[Date]]-$D$2)</f>
        <v>1373.2394366197184</v>
      </c>
      <c r="E186" s="4">
        <f>SUMIFS(schedule[Equipment CPP], schedule[Start Date],"&lt;="&amp;day_cash[[#This Row],[Date]]-$E$2, schedule[Finish Date],"&gt;="&amp;day_cash[[#This Row],[Date]]-$E$2)</f>
        <v>471.69811320754718</v>
      </c>
      <c r="F186" s="4">
        <f>SUMIFS(schedule[Sub CPP], schedule[Start Date],"&lt;="&amp;day_cash[[#This Row],[Date]]-$F$2, schedule[Finish Date],"&gt;="&amp;day_cash[[#This Row],[Date]]-$F$2)</f>
        <v>1936.6197183098591</v>
      </c>
      <c r="G186" s="3">
        <f>SUMIFS(schedule[Other CPP], schedule[Start Date],"&lt;="&amp;day_cash[[#This Row],[Date]]-$G$2, schedule[Finish Date],"&gt;="&amp;day_cash[[#This Row],[Date]]-$G$2)</f>
        <v>314.46540880503147</v>
      </c>
      <c r="H186" s="3">
        <f>SUM(day_cash[[#This Row],[Labor Cost]:[Other Cost]])</f>
        <v>4096.0226769421561</v>
      </c>
      <c r="I186" s="3">
        <f>SUMIFS(schedule[Revenue per Day], schedule[Start Date],"&lt;="&amp;day_cash[[#This Row],[Date]]-$I$2, schedule[Finish Date],"&gt;="&amp;day_cash[[#This Row],[Date]]-$I$2)</f>
        <v>8346.2884223580477</v>
      </c>
      <c r="J186" s="3">
        <f>SUM(day_cash[[#Headers],[Labor Cost]]:day_cash[[#This Row],[Labor Cost]])</f>
        <v>594999.99999999988</v>
      </c>
      <c r="K186" s="3">
        <f>SUM(day_cash[[#Headers],[Material Cost]]:day_cash[[#This Row],[Material Cost]])</f>
        <v>247517.60563380239</v>
      </c>
      <c r="L186" s="3">
        <f>SUM(day_cash[[#Headers],[Equipment Cost]]:day_cash[[#This Row],[Equipment Cost]])</f>
        <v>83283.018867924344</v>
      </c>
      <c r="M186" s="3">
        <f>SUM(day_cash[[#Headers],[Sub Cost]]:day_cash[[#This Row],[Sub Cost]])</f>
        <v>511035.21126760502</v>
      </c>
      <c r="N186" s="3">
        <f>SUM(day_cash[[#Headers],[Other Cost]]:day_cash[[#This Row],[Other Cost]])</f>
        <v>55355.345911949546</v>
      </c>
      <c r="O186" s="3">
        <f>SUM(day_cash[[#This Row],[Cumulative Labor]:[Cumulative Other]])</f>
        <v>1492191.1816812812</v>
      </c>
      <c r="P186" s="3">
        <f>SUM(day_cash[[#Headers],[Revenue]]:day_cash[[#This Row],[Revenue]])</f>
        <v>1588240.9631056772</v>
      </c>
    </row>
    <row r="187" spans="2:16" x14ac:dyDescent="0.45">
      <c r="B187" s="1">
        <v>46570</v>
      </c>
      <c r="C187" s="4">
        <f>SUMIFS(schedule[Labor CPP], schedule[Start Date],"&lt;="&amp;day_cash[[#This Row],[Date]], schedule[Finish Date],"&gt;="&amp;day_cash[[#This Row],[Date]])</f>
        <v>0</v>
      </c>
      <c r="D187" s="4">
        <f>SUMIFS(schedule[Material CPP], schedule[Start Date],"&lt;="&amp;day_cash[[#This Row],[Date]]-$D$2, schedule[Finish Date],"&gt;="&amp;day_cash[[#This Row],[Date]]-$D$2)</f>
        <v>1373.2394366197184</v>
      </c>
      <c r="E187" s="4">
        <f>SUMIFS(schedule[Equipment CPP], schedule[Start Date],"&lt;="&amp;day_cash[[#This Row],[Date]]-$E$2, schedule[Finish Date],"&gt;="&amp;day_cash[[#This Row],[Date]]-$E$2)</f>
        <v>471.69811320754718</v>
      </c>
      <c r="F187" s="4">
        <f>SUMIFS(schedule[Sub CPP], schedule[Start Date],"&lt;="&amp;day_cash[[#This Row],[Date]]-$F$2, schedule[Finish Date],"&gt;="&amp;day_cash[[#This Row],[Date]]-$F$2)</f>
        <v>1936.6197183098591</v>
      </c>
      <c r="G187" s="3">
        <f>SUMIFS(schedule[Other CPP], schedule[Start Date],"&lt;="&amp;day_cash[[#This Row],[Date]]-$G$2, schedule[Finish Date],"&gt;="&amp;day_cash[[#This Row],[Date]]-$G$2)</f>
        <v>314.46540880503147</v>
      </c>
      <c r="H187" s="3">
        <f>SUM(day_cash[[#This Row],[Labor Cost]:[Other Cost]])</f>
        <v>4096.0226769421561</v>
      </c>
      <c r="I187" s="3">
        <f>SUMIFS(schedule[Revenue per Day], schedule[Start Date],"&lt;="&amp;day_cash[[#This Row],[Date]]-$I$2, schedule[Finish Date],"&gt;="&amp;day_cash[[#This Row],[Date]]-$I$2)</f>
        <v>8346.2884223580477</v>
      </c>
      <c r="J187" s="3">
        <f>SUM(day_cash[[#Headers],[Labor Cost]]:day_cash[[#This Row],[Labor Cost]])</f>
        <v>594999.99999999988</v>
      </c>
      <c r="K187" s="3">
        <f>SUM(day_cash[[#Headers],[Material Cost]]:day_cash[[#This Row],[Material Cost]])</f>
        <v>248890.8450704221</v>
      </c>
      <c r="L187" s="3">
        <f>SUM(day_cash[[#Headers],[Equipment Cost]]:day_cash[[#This Row],[Equipment Cost]])</f>
        <v>83754.716981131889</v>
      </c>
      <c r="M187" s="3">
        <f>SUM(day_cash[[#Headers],[Sub Cost]]:day_cash[[#This Row],[Sub Cost]])</f>
        <v>512971.83098591486</v>
      </c>
      <c r="N187" s="3">
        <f>SUM(day_cash[[#Headers],[Other Cost]]:day_cash[[#This Row],[Other Cost]])</f>
        <v>55669.811320754576</v>
      </c>
      <c r="O187" s="3">
        <f>SUM(day_cash[[#This Row],[Cumulative Labor]:[Cumulative Other]])</f>
        <v>1496287.2043582231</v>
      </c>
      <c r="P187" s="3">
        <f>SUM(day_cash[[#Headers],[Revenue]]:day_cash[[#This Row],[Revenue]])</f>
        <v>1596587.2515280352</v>
      </c>
    </row>
    <row r="188" spans="2:16" x14ac:dyDescent="0.45">
      <c r="B188" s="1">
        <v>46571</v>
      </c>
      <c r="C188" s="4">
        <f>SUMIFS(schedule[Labor CPP], schedule[Start Date],"&lt;="&amp;day_cash[[#This Row],[Date]], schedule[Finish Date],"&gt;="&amp;day_cash[[#This Row],[Date]])</f>
        <v>0</v>
      </c>
      <c r="D188" s="4">
        <f>SUMIFS(schedule[Material CPP], schedule[Start Date],"&lt;="&amp;day_cash[[#This Row],[Date]]-$D$2, schedule[Finish Date],"&gt;="&amp;day_cash[[#This Row],[Date]]-$D$2)</f>
        <v>1373.2394366197184</v>
      </c>
      <c r="E188" s="4">
        <f>SUMIFS(schedule[Equipment CPP], schedule[Start Date],"&lt;="&amp;day_cash[[#This Row],[Date]]-$E$2, schedule[Finish Date],"&gt;="&amp;day_cash[[#This Row],[Date]]-$E$2)</f>
        <v>471.69811320754718</v>
      </c>
      <c r="F188" s="4">
        <f>SUMIFS(schedule[Sub CPP], schedule[Start Date],"&lt;="&amp;day_cash[[#This Row],[Date]]-$F$2, schedule[Finish Date],"&gt;="&amp;day_cash[[#This Row],[Date]]-$F$2)</f>
        <v>1936.6197183098591</v>
      </c>
      <c r="G188" s="3">
        <f>SUMIFS(schedule[Other CPP], schedule[Start Date],"&lt;="&amp;day_cash[[#This Row],[Date]]-$G$2, schedule[Finish Date],"&gt;="&amp;day_cash[[#This Row],[Date]]-$G$2)</f>
        <v>314.46540880503147</v>
      </c>
      <c r="H188" s="3">
        <f>SUM(day_cash[[#This Row],[Labor Cost]:[Other Cost]])</f>
        <v>4096.0226769421561</v>
      </c>
      <c r="I188" s="3">
        <f>SUMIFS(schedule[Revenue per Day], schedule[Start Date],"&lt;="&amp;day_cash[[#This Row],[Date]]-$I$2, schedule[Finish Date],"&gt;="&amp;day_cash[[#This Row],[Date]]-$I$2)</f>
        <v>8346.2884223580477</v>
      </c>
      <c r="J188" s="3">
        <f>SUM(day_cash[[#Headers],[Labor Cost]]:day_cash[[#This Row],[Labor Cost]])</f>
        <v>594999.99999999988</v>
      </c>
      <c r="K188" s="3">
        <f>SUM(day_cash[[#Headers],[Material Cost]]:day_cash[[#This Row],[Material Cost]])</f>
        <v>250264.08450704181</v>
      </c>
      <c r="L188" s="3">
        <f>SUM(day_cash[[#Headers],[Equipment Cost]]:day_cash[[#This Row],[Equipment Cost]])</f>
        <v>84226.415094339434</v>
      </c>
      <c r="M188" s="3">
        <f>SUM(day_cash[[#Headers],[Sub Cost]]:day_cash[[#This Row],[Sub Cost]])</f>
        <v>514908.4507042247</v>
      </c>
      <c r="N188" s="3">
        <f>SUM(day_cash[[#Headers],[Other Cost]]:day_cash[[#This Row],[Other Cost]])</f>
        <v>55984.276729559606</v>
      </c>
      <c r="O188" s="3">
        <f>SUM(day_cash[[#This Row],[Cumulative Labor]:[Cumulative Other]])</f>
        <v>1500383.2270351653</v>
      </c>
      <c r="P188" s="3">
        <f>SUM(day_cash[[#Headers],[Revenue]]:day_cash[[#This Row],[Revenue]])</f>
        <v>1604933.5399503931</v>
      </c>
    </row>
    <row r="189" spans="2:16" x14ac:dyDescent="0.45">
      <c r="B189" s="1">
        <v>46572</v>
      </c>
      <c r="C189" s="4">
        <f>SUMIFS(schedule[Labor CPP], schedule[Start Date],"&lt;="&amp;day_cash[[#This Row],[Date]], schedule[Finish Date],"&gt;="&amp;day_cash[[#This Row],[Date]])</f>
        <v>0</v>
      </c>
      <c r="D189" s="4">
        <f>SUMIFS(schedule[Material CPP], schedule[Start Date],"&lt;="&amp;day_cash[[#This Row],[Date]]-$D$2, schedule[Finish Date],"&gt;="&amp;day_cash[[#This Row],[Date]]-$D$2)</f>
        <v>1373.2394366197184</v>
      </c>
      <c r="E189" s="4">
        <f>SUMIFS(schedule[Equipment CPP], schedule[Start Date],"&lt;="&amp;day_cash[[#This Row],[Date]]-$E$2, schedule[Finish Date],"&gt;="&amp;day_cash[[#This Row],[Date]]-$E$2)</f>
        <v>471.69811320754718</v>
      </c>
      <c r="F189" s="4">
        <f>SUMIFS(schedule[Sub CPP], schedule[Start Date],"&lt;="&amp;day_cash[[#This Row],[Date]]-$F$2, schedule[Finish Date],"&gt;="&amp;day_cash[[#This Row],[Date]]-$F$2)</f>
        <v>1936.6197183098591</v>
      </c>
      <c r="G189" s="3">
        <f>SUMIFS(schedule[Other CPP], schedule[Start Date],"&lt;="&amp;day_cash[[#This Row],[Date]]-$G$2, schedule[Finish Date],"&gt;="&amp;day_cash[[#This Row],[Date]]-$G$2)</f>
        <v>314.46540880503147</v>
      </c>
      <c r="H189" s="3">
        <f>SUM(day_cash[[#This Row],[Labor Cost]:[Other Cost]])</f>
        <v>4096.0226769421561</v>
      </c>
      <c r="I189" s="3">
        <f>SUMIFS(schedule[Revenue per Day], schedule[Start Date],"&lt;="&amp;day_cash[[#This Row],[Date]]-$I$2, schedule[Finish Date],"&gt;="&amp;day_cash[[#This Row],[Date]]-$I$2)</f>
        <v>8346.2884223580477</v>
      </c>
      <c r="J189" s="3">
        <f>SUM(day_cash[[#Headers],[Labor Cost]]:day_cash[[#This Row],[Labor Cost]])</f>
        <v>594999.99999999988</v>
      </c>
      <c r="K189" s="3">
        <f>SUM(day_cash[[#Headers],[Material Cost]]:day_cash[[#This Row],[Material Cost]])</f>
        <v>251637.32394366153</v>
      </c>
      <c r="L189" s="3">
        <f>SUM(day_cash[[#Headers],[Equipment Cost]]:day_cash[[#This Row],[Equipment Cost]])</f>
        <v>84698.11320754698</v>
      </c>
      <c r="M189" s="3">
        <f>SUM(day_cash[[#Headers],[Sub Cost]]:day_cash[[#This Row],[Sub Cost]])</f>
        <v>516845.07042253454</v>
      </c>
      <c r="N189" s="3">
        <f>SUM(day_cash[[#Headers],[Other Cost]]:day_cash[[#This Row],[Other Cost]])</f>
        <v>56298.742138364636</v>
      </c>
      <c r="O189" s="3">
        <f>SUM(day_cash[[#This Row],[Cumulative Labor]:[Cumulative Other]])</f>
        <v>1504479.2497121075</v>
      </c>
      <c r="P189" s="3">
        <f>SUM(day_cash[[#Headers],[Revenue]]:day_cash[[#This Row],[Revenue]])</f>
        <v>1613279.8283727511</v>
      </c>
    </row>
    <row r="190" spans="2:16" x14ac:dyDescent="0.45">
      <c r="B190" s="1">
        <v>46573</v>
      </c>
      <c r="C190" s="4">
        <f>SUMIFS(schedule[Labor CPP], schedule[Start Date],"&lt;="&amp;day_cash[[#This Row],[Date]], schedule[Finish Date],"&gt;="&amp;day_cash[[#This Row],[Date]])</f>
        <v>0</v>
      </c>
      <c r="D190" s="4">
        <f>SUMIFS(schedule[Material CPP], schedule[Start Date],"&lt;="&amp;day_cash[[#This Row],[Date]]-$D$2, schedule[Finish Date],"&gt;="&amp;day_cash[[#This Row],[Date]]-$D$2)</f>
        <v>1373.2394366197184</v>
      </c>
      <c r="E190" s="4">
        <f>SUMIFS(schedule[Equipment CPP], schedule[Start Date],"&lt;="&amp;day_cash[[#This Row],[Date]]-$E$2, schedule[Finish Date],"&gt;="&amp;day_cash[[#This Row],[Date]]-$E$2)</f>
        <v>471.69811320754718</v>
      </c>
      <c r="F190" s="4">
        <f>SUMIFS(schedule[Sub CPP], schedule[Start Date],"&lt;="&amp;day_cash[[#This Row],[Date]]-$F$2, schedule[Finish Date],"&gt;="&amp;day_cash[[#This Row],[Date]]-$F$2)</f>
        <v>1936.6197183098591</v>
      </c>
      <c r="G190" s="3">
        <f>SUMIFS(schedule[Other CPP], schedule[Start Date],"&lt;="&amp;day_cash[[#This Row],[Date]]-$G$2, schedule[Finish Date],"&gt;="&amp;day_cash[[#This Row],[Date]]-$G$2)</f>
        <v>314.46540880503147</v>
      </c>
      <c r="H190" s="3">
        <f>SUM(day_cash[[#This Row],[Labor Cost]:[Other Cost]])</f>
        <v>4096.0226769421561</v>
      </c>
      <c r="I190" s="3">
        <f>SUMIFS(schedule[Revenue per Day], schedule[Start Date],"&lt;="&amp;day_cash[[#This Row],[Date]]-$I$2, schedule[Finish Date],"&gt;="&amp;day_cash[[#This Row],[Date]]-$I$2)</f>
        <v>8346.2884223580477</v>
      </c>
      <c r="J190" s="3">
        <f>SUM(day_cash[[#Headers],[Labor Cost]]:day_cash[[#This Row],[Labor Cost]])</f>
        <v>594999.99999999988</v>
      </c>
      <c r="K190" s="3">
        <f>SUM(day_cash[[#Headers],[Material Cost]]:day_cash[[#This Row],[Material Cost]])</f>
        <v>253010.56338028124</v>
      </c>
      <c r="L190" s="3">
        <f>SUM(day_cash[[#Headers],[Equipment Cost]]:day_cash[[#This Row],[Equipment Cost]])</f>
        <v>85169.811320754525</v>
      </c>
      <c r="M190" s="3">
        <f>SUM(day_cash[[#Headers],[Sub Cost]]:day_cash[[#This Row],[Sub Cost]])</f>
        <v>518781.69014084438</v>
      </c>
      <c r="N190" s="3">
        <f>SUM(day_cash[[#Headers],[Other Cost]]:day_cash[[#This Row],[Other Cost]])</f>
        <v>56613.207547169666</v>
      </c>
      <c r="O190" s="3">
        <f>SUM(day_cash[[#This Row],[Cumulative Labor]:[Cumulative Other]])</f>
        <v>1508575.2723890496</v>
      </c>
      <c r="P190" s="3">
        <f>SUM(day_cash[[#Headers],[Revenue]]:day_cash[[#This Row],[Revenue]])</f>
        <v>1621626.1167951091</v>
      </c>
    </row>
    <row r="191" spans="2:16" x14ac:dyDescent="0.45">
      <c r="B191" s="1">
        <v>46574</v>
      </c>
      <c r="C191" s="4">
        <f>SUMIFS(schedule[Labor CPP], schedule[Start Date],"&lt;="&amp;day_cash[[#This Row],[Date]], schedule[Finish Date],"&gt;="&amp;day_cash[[#This Row],[Date]])</f>
        <v>0</v>
      </c>
      <c r="D191" s="4">
        <f>SUMIFS(schedule[Material CPP], schedule[Start Date],"&lt;="&amp;day_cash[[#This Row],[Date]]-$D$2, schedule[Finish Date],"&gt;="&amp;day_cash[[#This Row],[Date]]-$D$2)</f>
        <v>1373.2394366197184</v>
      </c>
      <c r="E191" s="4">
        <f>SUMIFS(schedule[Equipment CPP], schedule[Start Date],"&lt;="&amp;day_cash[[#This Row],[Date]]-$E$2, schedule[Finish Date],"&gt;="&amp;day_cash[[#This Row],[Date]]-$E$2)</f>
        <v>471.69811320754718</v>
      </c>
      <c r="F191" s="4">
        <f>SUMIFS(schedule[Sub CPP], schedule[Start Date],"&lt;="&amp;day_cash[[#This Row],[Date]]-$F$2, schedule[Finish Date],"&gt;="&amp;day_cash[[#This Row],[Date]]-$F$2)</f>
        <v>1936.6197183098591</v>
      </c>
      <c r="G191" s="3">
        <f>SUMIFS(schedule[Other CPP], schedule[Start Date],"&lt;="&amp;day_cash[[#This Row],[Date]]-$G$2, schedule[Finish Date],"&gt;="&amp;day_cash[[#This Row],[Date]]-$G$2)</f>
        <v>314.46540880503147</v>
      </c>
      <c r="H191" s="3">
        <f>SUM(day_cash[[#This Row],[Labor Cost]:[Other Cost]])</f>
        <v>4096.0226769421561</v>
      </c>
      <c r="I191" s="3">
        <f>SUMIFS(schedule[Revenue per Day], schedule[Start Date],"&lt;="&amp;day_cash[[#This Row],[Date]]-$I$2, schedule[Finish Date],"&gt;="&amp;day_cash[[#This Row],[Date]]-$I$2)</f>
        <v>8346.2884223580477</v>
      </c>
      <c r="J191" s="3">
        <f>SUM(day_cash[[#Headers],[Labor Cost]]:day_cash[[#This Row],[Labor Cost]])</f>
        <v>594999.99999999988</v>
      </c>
      <c r="K191" s="3">
        <f>SUM(day_cash[[#Headers],[Material Cost]]:day_cash[[#This Row],[Material Cost]])</f>
        <v>254383.80281690095</v>
      </c>
      <c r="L191" s="3">
        <f>SUM(day_cash[[#Headers],[Equipment Cost]]:day_cash[[#This Row],[Equipment Cost]])</f>
        <v>85641.50943396207</v>
      </c>
      <c r="M191" s="3">
        <f>SUM(day_cash[[#Headers],[Sub Cost]]:day_cash[[#This Row],[Sub Cost]])</f>
        <v>520718.30985915422</v>
      </c>
      <c r="N191" s="3">
        <f>SUM(day_cash[[#Headers],[Other Cost]]:day_cash[[#This Row],[Other Cost]])</f>
        <v>56927.672955974696</v>
      </c>
      <c r="O191" s="3">
        <f>SUM(day_cash[[#This Row],[Cumulative Labor]:[Cumulative Other]])</f>
        <v>1512671.2950659918</v>
      </c>
      <c r="P191" s="3">
        <f>SUM(day_cash[[#Headers],[Revenue]]:day_cash[[#This Row],[Revenue]])</f>
        <v>1629972.4052174671</v>
      </c>
    </row>
    <row r="192" spans="2:16" x14ac:dyDescent="0.45">
      <c r="B192" s="1">
        <v>46575</v>
      </c>
      <c r="C192" s="4">
        <f>SUMIFS(schedule[Labor CPP], schedule[Start Date],"&lt;="&amp;day_cash[[#This Row],[Date]], schedule[Finish Date],"&gt;="&amp;day_cash[[#This Row],[Date]])</f>
        <v>0</v>
      </c>
      <c r="D192" s="4">
        <f>SUMIFS(schedule[Material CPP], schedule[Start Date],"&lt;="&amp;day_cash[[#This Row],[Date]]-$D$2, schedule[Finish Date],"&gt;="&amp;day_cash[[#This Row],[Date]]-$D$2)</f>
        <v>1373.2394366197184</v>
      </c>
      <c r="E192" s="4">
        <f>SUMIFS(schedule[Equipment CPP], schedule[Start Date],"&lt;="&amp;day_cash[[#This Row],[Date]]-$E$2, schedule[Finish Date],"&gt;="&amp;day_cash[[#This Row],[Date]]-$E$2)</f>
        <v>471.69811320754718</v>
      </c>
      <c r="F192" s="4">
        <f>SUMIFS(schedule[Sub CPP], schedule[Start Date],"&lt;="&amp;day_cash[[#This Row],[Date]]-$F$2, schedule[Finish Date],"&gt;="&amp;day_cash[[#This Row],[Date]]-$F$2)</f>
        <v>1936.6197183098591</v>
      </c>
      <c r="G192" s="3">
        <f>SUMIFS(schedule[Other CPP], schedule[Start Date],"&lt;="&amp;day_cash[[#This Row],[Date]]-$G$2, schedule[Finish Date],"&gt;="&amp;day_cash[[#This Row],[Date]]-$G$2)</f>
        <v>314.46540880503147</v>
      </c>
      <c r="H192" s="3">
        <f>SUM(day_cash[[#This Row],[Labor Cost]:[Other Cost]])</f>
        <v>4096.0226769421561</v>
      </c>
      <c r="I192" s="3">
        <f>SUMIFS(schedule[Revenue per Day], schedule[Start Date],"&lt;="&amp;day_cash[[#This Row],[Date]]-$I$2, schedule[Finish Date],"&gt;="&amp;day_cash[[#This Row],[Date]]-$I$2)</f>
        <v>8346.2884223580477</v>
      </c>
      <c r="J192" s="3">
        <f>SUM(day_cash[[#Headers],[Labor Cost]]:day_cash[[#This Row],[Labor Cost]])</f>
        <v>594999.99999999988</v>
      </c>
      <c r="K192" s="3">
        <f>SUM(day_cash[[#Headers],[Material Cost]]:day_cash[[#This Row],[Material Cost]])</f>
        <v>255757.04225352066</v>
      </c>
      <c r="L192" s="3">
        <f>SUM(day_cash[[#Headers],[Equipment Cost]]:day_cash[[#This Row],[Equipment Cost]])</f>
        <v>86113.207547169615</v>
      </c>
      <c r="M192" s="3">
        <f>SUM(day_cash[[#Headers],[Sub Cost]]:day_cash[[#This Row],[Sub Cost]])</f>
        <v>522654.92957746406</v>
      </c>
      <c r="N192" s="3">
        <f>SUM(day_cash[[#Headers],[Other Cost]]:day_cash[[#This Row],[Other Cost]])</f>
        <v>57242.138364779727</v>
      </c>
      <c r="O192" s="3">
        <f>SUM(day_cash[[#This Row],[Cumulative Labor]:[Cumulative Other]])</f>
        <v>1516767.317742934</v>
      </c>
      <c r="P192" s="3">
        <f>SUM(day_cash[[#Headers],[Revenue]]:day_cash[[#This Row],[Revenue]])</f>
        <v>1638318.6936398251</v>
      </c>
    </row>
    <row r="193" spans="2:16" x14ac:dyDescent="0.45">
      <c r="B193" s="1">
        <v>46576</v>
      </c>
      <c r="C193" s="4">
        <f>SUMIFS(schedule[Labor CPP], schedule[Start Date],"&lt;="&amp;day_cash[[#This Row],[Date]], schedule[Finish Date],"&gt;="&amp;day_cash[[#This Row],[Date]])</f>
        <v>0</v>
      </c>
      <c r="D193" s="4">
        <f>SUMIFS(schedule[Material CPP], schedule[Start Date],"&lt;="&amp;day_cash[[#This Row],[Date]]-$D$2, schedule[Finish Date],"&gt;="&amp;day_cash[[#This Row],[Date]]-$D$2)</f>
        <v>1373.2394366197184</v>
      </c>
      <c r="E193" s="4">
        <f>SUMIFS(schedule[Equipment CPP], schedule[Start Date],"&lt;="&amp;day_cash[[#This Row],[Date]]-$E$2, schedule[Finish Date],"&gt;="&amp;day_cash[[#This Row],[Date]]-$E$2)</f>
        <v>471.69811320754718</v>
      </c>
      <c r="F193" s="4">
        <f>SUMIFS(schedule[Sub CPP], schedule[Start Date],"&lt;="&amp;day_cash[[#This Row],[Date]]-$F$2, schedule[Finish Date],"&gt;="&amp;day_cash[[#This Row],[Date]]-$F$2)</f>
        <v>1936.6197183098591</v>
      </c>
      <c r="G193" s="3">
        <f>SUMIFS(schedule[Other CPP], schedule[Start Date],"&lt;="&amp;day_cash[[#This Row],[Date]]-$G$2, schedule[Finish Date],"&gt;="&amp;day_cash[[#This Row],[Date]]-$G$2)</f>
        <v>314.46540880503147</v>
      </c>
      <c r="H193" s="3">
        <f>SUM(day_cash[[#This Row],[Labor Cost]:[Other Cost]])</f>
        <v>4096.0226769421561</v>
      </c>
      <c r="I193" s="3">
        <f>SUMIFS(schedule[Revenue per Day], schedule[Start Date],"&lt;="&amp;day_cash[[#This Row],[Date]]-$I$2, schedule[Finish Date],"&gt;="&amp;day_cash[[#This Row],[Date]]-$I$2)</f>
        <v>8346.2884223580477</v>
      </c>
      <c r="J193" s="3">
        <f>SUM(day_cash[[#Headers],[Labor Cost]]:day_cash[[#This Row],[Labor Cost]])</f>
        <v>594999.99999999988</v>
      </c>
      <c r="K193" s="3">
        <f>SUM(day_cash[[#Headers],[Material Cost]]:day_cash[[#This Row],[Material Cost]])</f>
        <v>257130.28169014037</v>
      </c>
      <c r="L193" s="3">
        <f>SUM(day_cash[[#Headers],[Equipment Cost]]:day_cash[[#This Row],[Equipment Cost]])</f>
        <v>86584.905660377161</v>
      </c>
      <c r="M193" s="3">
        <f>SUM(day_cash[[#Headers],[Sub Cost]]:day_cash[[#This Row],[Sub Cost]])</f>
        <v>524591.54929577396</v>
      </c>
      <c r="N193" s="3">
        <f>SUM(day_cash[[#Headers],[Other Cost]]:day_cash[[#This Row],[Other Cost]])</f>
        <v>57556.603773584757</v>
      </c>
      <c r="O193" s="3">
        <f>SUM(day_cash[[#This Row],[Cumulative Labor]:[Cumulative Other]])</f>
        <v>1520863.3404198762</v>
      </c>
      <c r="P193" s="3">
        <f>SUM(day_cash[[#Headers],[Revenue]]:day_cash[[#This Row],[Revenue]])</f>
        <v>1646664.9820621831</v>
      </c>
    </row>
    <row r="194" spans="2:16" x14ac:dyDescent="0.45">
      <c r="B194" s="1">
        <v>46577</v>
      </c>
      <c r="C194" s="4">
        <f>SUMIFS(schedule[Labor CPP], schedule[Start Date],"&lt;="&amp;day_cash[[#This Row],[Date]], schedule[Finish Date],"&gt;="&amp;day_cash[[#This Row],[Date]])</f>
        <v>0</v>
      </c>
      <c r="D194" s="4">
        <f>SUMIFS(schedule[Material CPP], schedule[Start Date],"&lt;="&amp;day_cash[[#This Row],[Date]]-$D$2, schedule[Finish Date],"&gt;="&amp;day_cash[[#This Row],[Date]]-$D$2)</f>
        <v>1373.2394366197184</v>
      </c>
      <c r="E194" s="4">
        <f>SUMIFS(schedule[Equipment CPP], schedule[Start Date],"&lt;="&amp;day_cash[[#This Row],[Date]]-$E$2, schedule[Finish Date],"&gt;="&amp;day_cash[[#This Row],[Date]]-$E$2)</f>
        <v>471.69811320754718</v>
      </c>
      <c r="F194" s="4">
        <f>SUMIFS(schedule[Sub CPP], schedule[Start Date],"&lt;="&amp;day_cash[[#This Row],[Date]]-$F$2, schedule[Finish Date],"&gt;="&amp;day_cash[[#This Row],[Date]]-$F$2)</f>
        <v>1936.6197183098591</v>
      </c>
      <c r="G194" s="3">
        <f>SUMIFS(schedule[Other CPP], schedule[Start Date],"&lt;="&amp;day_cash[[#This Row],[Date]]-$G$2, schedule[Finish Date],"&gt;="&amp;day_cash[[#This Row],[Date]]-$G$2)</f>
        <v>314.46540880503147</v>
      </c>
      <c r="H194" s="3">
        <f>SUM(day_cash[[#This Row],[Labor Cost]:[Other Cost]])</f>
        <v>4096.0226769421561</v>
      </c>
      <c r="I194" s="3">
        <f>SUMIFS(schedule[Revenue per Day], schedule[Start Date],"&lt;="&amp;day_cash[[#This Row],[Date]]-$I$2, schedule[Finish Date],"&gt;="&amp;day_cash[[#This Row],[Date]]-$I$2)</f>
        <v>8346.2884223580477</v>
      </c>
      <c r="J194" s="3">
        <f>SUM(day_cash[[#Headers],[Labor Cost]]:day_cash[[#This Row],[Labor Cost]])</f>
        <v>594999.99999999988</v>
      </c>
      <c r="K194" s="3">
        <f>SUM(day_cash[[#Headers],[Material Cost]]:day_cash[[#This Row],[Material Cost]])</f>
        <v>258503.52112676008</v>
      </c>
      <c r="L194" s="3">
        <f>SUM(day_cash[[#Headers],[Equipment Cost]]:day_cash[[#This Row],[Equipment Cost]])</f>
        <v>87056.603773584706</v>
      </c>
      <c r="M194" s="3">
        <f>SUM(day_cash[[#Headers],[Sub Cost]]:day_cash[[#This Row],[Sub Cost]])</f>
        <v>526528.1690140838</v>
      </c>
      <c r="N194" s="3">
        <f>SUM(day_cash[[#Headers],[Other Cost]]:day_cash[[#This Row],[Other Cost]])</f>
        <v>57871.069182389787</v>
      </c>
      <c r="O194" s="3">
        <f>SUM(day_cash[[#This Row],[Cumulative Labor]:[Cumulative Other]])</f>
        <v>1524959.3630968183</v>
      </c>
      <c r="P194" s="3">
        <f>SUM(day_cash[[#Headers],[Revenue]]:day_cash[[#This Row],[Revenue]])</f>
        <v>1655011.2704845411</v>
      </c>
    </row>
    <row r="195" spans="2:16" x14ac:dyDescent="0.45">
      <c r="B195" s="1">
        <v>46578</v>
      </c>
      <c r="C195" s="4">
        <f>SUMIFS(schedule[Labor CPP], schedule[Start Date],"&lt;="&amp;day_cash[[#This Row],[Date]], schedule[Finish Date],"&gt;="&amp;day_cash[[#This Row],[Date]])</f>
        <v>0</v>
      </c>
      <c r="D195" s="4">
        <f>SUMIFS(schedule[Material CPP], schedule[Start Date],"&lt;="&amp;day_cash[[#This Row],[Date]]-$D$2, schedule[Finish Date],"&gt;="&amp;day_cash[[#This Row],[Date]]-$D$2)</f>
        <v>1373.2394366197184</v>
      </c>
      <c r="E195" s="4">
        <f>SUMIFS(schedule[Equipment CPP], schedule[Start Date],"&lt;="&amp;day_cash[[#This Row],[Date]]-$E$2, schedule[Finish Date],"&gt;="&amp;day_cash[[#This Row],[Date]]-$E$2)</f>
        <v>471.69811320754718</v>
      </c>
      <c r="F195" s="4">
        <f>SUMIFS(schedule[Sub CPP], schedule[Start Date],"&lt;="&amp;day_cash[[#This Row],[Date]]-$F$2, schedule[Finish Date],"&gt;="&amp;day_cash[[#This Row],[Date]]-$F$2)</f>
        <v>1936.6197183098591</v>
      </c>
      <c r="G195" s="3">
        <f>SUMIFS(schedule[Other CPP], schedule[Start Date],"&lt;="&amp;day_cash[[#This Row],[Date]]-$G$2, schedule[Finish Date],"&gt;="&amp;day_cash[[#This Row],[Date]]-$G$2)</f>
        <v>314.46540880503147</v>
      </c>
      <c r="H195" s="3">
        <f>SUM(day_cash[[#This Row],[Labor Cost]:[Other Cost]])</f>
        <v>4096.0226769421561</v>
      </c>
      <c r="I195" s="3">
        <f>SUMIFS(schedule[Revenue per Day], schedule[Start Date],"&lt;="&amp;day_cash[[#This Row],[Date]]-$I$2, schedule[Finish Date],"&gt;="&amp;day_cash[[#This Row],[Date]]-$I$2)</f>
        <v>8346.2884223580477</v>
      </c>
      <c r="J195" s="3">
        <f>SUM(day_cash[[#Headers],[Labor Cost]]:day_cash[[#This Row],[Labor Cost]])</f>
        <v>594999.99999999988</v>
      </c>
      <c r="K195" s="3">
        <f>SUM(day_cash[[#Headers],[Material Cost]]:day_cash[[#This Row],[Material Cost]])</f>
        <v>259876.76056337979</v>
      </c>
      <c r="L195" s="3">
        <f>SUM(day_cash[[#Headers],[Equipment Cost]]:day_cash[[#This Row],[Equipment Cost]])</f>
        <v>87528.301886792251</v>
      </c>
      <c r="M195" s="3">
        <f>SUM(day_cash[[#Headers],[Sub Cost]]:day_cash[[#This Row],[Sub Cost]])</f>
        <v>528464.78873239364</v>
      </c>
      <c r="N195" s="3">
        <f>SUM(day_cash[[#Headers],[Other Cost]]:day_cash[[#This Row],[Other Cost]])</f>
        <v>58185.534591194817</v>
      </c>
      <c r="O195" s="3">
        <f>SUM(day_cash[[#This Row],[Cumulative Labor]:[Cumulative Other]])</f>
        <v>1529055.3857737603</v>
      </c>
      <c r="P195" s="3">
        <f>SUM(day_cash[[#Headers],[Revenue]]:day_cash[[#This Row],[Revenue]])</f>
        <v>1663357.5589068991</v>
      </c>
    </row>
    <row r="196" spans="2:16" x14ac:dyDescent="0.45">
      <c r="B196" s="1">
        <v>46579</v>
      </c>
      <c r="C196" s="4">
        <f>SUMIFS(schedule[Labor CPP], schedule[Start Date],"&lt;="&amp;day_cash[[#This Row],[Date]], schedule[Finish Date],"&gt;="&amp;day_cash[[#This Row],[Date]])</f>
        <v>0</v>
      </c>
      <c r="D196" s="4">
        <f>SUMIFS(schedule[Material CPP], schedule[Start Date],"&lt;="&amp;day_cash[[#This Row],[Date]]-$D$2, schedule[Finish Date],"&gt;="&amp;day_cash[[#This Row],[Date]]-$D$2)</f>
        <v>1373.2394366197184</v>
      </c>
      <c r="E196" s="4">
        <f>SUMIFS(schedule[Equipment CPP], schedule[Start Date],"&lt;="&amp;day_cash[[#This Row],[Date]]-$E$2, schedule[Finish Date],"&gt;="&amp;day_cash[[#This Row],[Date]]-$E$2)</f>
        <v>471.69811320754718</v>
      </c>
      <c r="F196" s="4">
        <f>SUMIFS(schedule[Sub CPP], schedule[Start Date],"&lt;="&amp;day_cash[[#This Row],[Date]]-$F$2, schedule[Finish Date],"&gt;="&amp;day_cash[[#This Row],[Date]]-$F$2)</f>
        <v>1936.6197183098591</v>
      </c>
      <c r="G196" s="3">
        <f>SUMIFS(schedule[Other CPP], schedule[Start Date],"&lt;="&amp;day_cash[[#This Row],[Date]]-$G$2, schedule[Finish Date],"&gt;="&amp;day_cash[[#This Row],[Date]]-$G$2)</f>
        <v>314.46540880503147</v>
      </c>
      <c r="H196" s="3">
        <f>SUM(day_cash[[#This Row],[Labor Cost]:[Other Cost]])</f>
        <v>4096.0226769421561</v>
      </c>
      <c r="I196" s="3">
        <f>SUMIFS(schedule[Revenue per Day], schedule[Start Date],"&lt;="&amp;day_cash[[#This Row],[Date]]-$I$2, schedule[Finish Date],"&gt;="&amp;day_cash[[#This Row],[Date]]-$I$2)</f>
        <v>8346.2884223580477</v>
      </c>
      <c r="J196" s="3">
        <f>SUM(day_cash[[#Headers],[Labor Cost]]:day_cash[[#This Row],[Labor Cost]])</f>
        <v>594999.99999999988</v>
      </c>
      <c r="K196" s="3">
        <f>SUM(day_cash[[#Headers],[Material Cost]]:day_cash[[#This Row],[Material Cost]])</f>
        <v>261249.99999999951</v>
      </c>
      <c r="L196" s="3">
        <f>SUM(day_cash[[#Headers],[Equipment Cost]]:day_cash[[#This Row],[Equipment Cost]])</f>
        <v>87999.999999999796</v>
      </c>
      <c r="M196" s="3">
        <f>SUM(day_cash[[#Headers],[Sub Cost]]:day_cash[[#This Row],[Sub Cost]])</f>
        <v>530401.40845070349</v>
      </c>
      <c r="N196" s="3">
        <f>SUM(day_cash[[#Headers],[Other Cost]]:day_cash[[#This Row],[Other Cost]])</f>
        <v>58499.999999999847</v>
      </c>
      <c r="O196" s="3">
        <f>SUM(day_cash[[#This Row],[Cumulative Labor]:[Cumulative Other]])</f>
        <v>1533151.4084507024</v>
      </c>
      <c r="P196" s="3">
        <f>SUM(day_cash[[#Headers],[Revenue]]:day_cash[[#This Row],[Revenue]])</f>
        <v>1671703.8473292571</v>
      </c>
    </row>
    <row r="197" spans="2:16" x14ac:dyDescent="0.45">
      <c r="B197" s="1">
        <v>46580</v>
      </c>
      <c r="C197" s="4">
        <f>SUMIFS(schedule[Labor CPP], schedule[Start Date],"&lt;="&amp;day_cash[[#This Row],[Date]], schedule[Finish Date],"&gt;="&amp;day_cash[[#This Row],[Date]])</f>
        <v>0</v>
      </c>
      <c r="D197" s="4">
        <f>SUMIFS(schedule[Material CPP], schedule[Start Date],"&lt;="&amp;day_cash[[#This Row],[Date]]-$D$2, schedule[Finish Date],"&gt;="&amp;day_cash[[#This Row],[Date]]-$D$2)</f>
        <v>0</v>
      </c>
      <c r="E197" s="4">
        <f>SUMIFS(schedule[Equipment CPP], schedule[Start Date],"&lt;="&amp;day_cash[[#This Row],[Date]]-$E$2, schedule[Finish Date],"&gt;="&amp;day_cash[[#This Row],[Date]]-$E$2)</f>
        <v>0</v>
      </c>
      <c r="F197" s="4">
        <f>SUMIFS(schedule[Sub CPP], schedule[Start Date],"&lt;="&amp;day_cash[[#This Row],[Date]]-$F$2, schedule[Finish Date],"&gt;="&amp;day_cash[[#This Row],[Date]]-$F$2)</f>
        <v>1936.6197183098591</v>
      </c>
      <c r="G197" s="3">
        <f>SUMIFS(schedule[Other CPP], schedule[Start Date],"&lt;="&amp;day_cash[[#This Row],[Date]]-$G$2, schedule[Finish Date],"&gt;="&amp;day_cash[[#This Row],[Date]]-$G$2)</f>
        <v>0</v>
      </c>
      <c r="H197" s="3">
        <f>SUM(day_cash[[#This Row],[Labor Cost]:[Other Cost]])</f>
        <v>1936.6197183098591</v>
      </c>
      <c r="I197" s="3">
        <f>SUMIFS(schedule[Revenue per Day], schedule[Start Date],"&lt;="&amp;day_cash[[#This Row],[Date]]-$I$2, schedule[Finish Date],"&gt;="&amp;day_cash[[#This Row],[Date]]-$I$2)</f>
        <v>8346.2884223580477</v>
      </c>
      <c r="J197" s="3">
        <f>SUM(day_cash[[#Headers],[Labor Cost]]:day_cash[[#This Row],[Labor Cost]])</f>
        <v>594999.99999999988</v>
      </c>
      <c r="K197" s="3">
        <f>SUM(day_cash[[#Headers],[Material Cost]]:day_cash[[#This Row],[Material Cost]])</f>
        <v>261249.99999999951</v>
      </c>
      <c r="L197" s="3">
        <f>SUM(day_cash[[#Headers],[Equipment Cost]]:day_cash[[#This Row],[Equipment Cost]])</f>
        <v>87999.999999999796</v>
      </c>
      <c r="M197" s="3">
        <f>SUM(day_cash[[#Headers],[Sub Cost]]:day_cash[[#This Row],[Sub Cost]])</f>
        <v>532338.02816901333</v>
      </c>
      <c r="N197" s="3">
        <f>SUM(day_cash[[#Headers],[Other Cost]]:day_cash[[#This Row],[Other Cost]])</f>
        <v>58499.999999999847</v>
      </c>
      <c r="O197" s="3">
        <f>SUM(day_cash[[#This Row],[Cumulative Labor]:[Cumulative Other]])</f>
        <v>1535088.0281690124</v>
      </c>
      <c r="P197" s="3">
        <f>SUM(day_cash[[#Headers],[Revenue]]:day_cash[[#This Row],[Revenue]])</f>
        <v>1680050.135751615</v>
      </c>
    </row>
    <row r="198" spans="2:16" x14ac:dyDescent="0.45">
      <c r="B198" s="1">
        <v>46581</v>
      </c>
      <c r="C198" s="4">
        <f>SUMIFS(schedule[Labor CPP], schedule[Start Date],"&lt;="&amp;day_cash[[#This Row],[Date]], schedule[Finish Date],"&gt;="&amp;day_cash[[#This Row],[Date]])</f>
        <v>0</v>
      </c>
      <c r="D198" s="4">
        <f>SUMIFS(schedule[Material CPP], schedule[Start Date],"&lt;="&amp;day_cash[[#This Row],[Date]]-$D$2, schedule[Finish Date],"&gt;="&amp;day_cash[[#This Row],[Date]]-$D$2)</f>
        <v>0</v>
      </c>
      <c r="E198" s="4">
        <f>SUMIFS(schedule[Equipment CPP], schedule[Start Date],"&lt;="&amp;day_cash[[#This Row],[Date]]-$E$2, schedule[Finish Date],"&gt;="&amp;day_cash[[#This Row],[Date]]-$E$2)</f>
        <v>0</v>
      </c>
      <c r="F198" s="4">
        <f>SUMIFS(schedule[Sub CPP], schedule[Start Date],"&lt;="&amp;day_cash[[#This Row],[Date]]-$F$2, schedule[Finish Date],"&gt;="&amp;day_cash[[#This Row],[Date]]-$F$2)</f>
        <v>1936.6197183098591</v>
      </c>
      <c r="G198" s="3">
        <f>SUMIFS(schedule[Other CPP], schedule[Start Date],"&lt;="&amp;day_cash[[#This Row],[Date]]-$G$2, schedule[Finish Date],"&gt;="&amp;day_cash[[#This Row],[Date]]-$G$2)</f>
        <v>0</v>
      </c>
      <c r="H198" s="3">
        <f>SUM(day_cash[[#This Row],[Labor Cost]:[Other Cost]])</f>
        <v>1936.6197183098591</v>
      </c>
      <c r="I198" s="3">
        <f>SUMIFS(schedule[Revenue per Day], schedule[Start Date],"&lt;="&amp;day_cash[[#This Row],[Date]]-$I$2, schedule[Finish Date],"&gt;="&amp;day_cash[[#This Row],[Date]]-$I$2)</f>
        <v>8346.2884223580477</v>
      </c>
      <c r="J198" s="3">
        <f>SUM(day_cash[[#Headers],[Labor Cost]]:day_cash[[#This Row],[Labor Cost]])</f>
        <v>594999.99999999988</v>
      </c>
      <c r="K198" s="3">
        <f>SUM(day_cash[[#Headers],[Material Cost]]:day_cash[[#This Row],[Material Cost]])</f>
        <v>261249.99999999951</v>
      </c>
      <c r="L198" s="3">
        <f>SUM(day_cash[[#Headers],[Equipment Cost]]:day_cash[[#This Row],[Equipment Cost]])</f>
        <v>87999.999999999796</v>
      </c>
      <c r="M198" s="3">
        <f>SUM(day_cash[[#Headers],[Sub Cost]]:day_cash[[#This Row],[Sub Cost]])</f>
        <v>534274.64788732317</v>
      </c>
      <c r="N198" s="3">
        <f>SUM(day_cash[[#Headers],[Other Cost]]:day_cash[[#This Row],[Other Cost]])</f>
        <v>58499.999999999847</v>
      </c>
      <c r="O198" s="3">
        <f>SUM(day_cash[[#This Row],[Cumulative Labor]:[Cumulative Other]])</f>
        <v>1537024.6478873221</v>
      </c>
      <c r="P198" s="3">
        <f>SUM(day_cash[[#Headers],[Revenue]]:day_cash[[#This Row],[Revenue]])</f>
        <v>1688396.424173973</v>
      </c>
    </row>
    <row r="199" spans="2:16" x14ac:dyDescent="0.45">
      <c r="B199" s="1">
        <v>46582</v>
      </c>
      <c r="C199" s="4">
        <f>SUMIFS(schedule[Labor CPP], schedule[Start Date],"&lt;="&amp;day_cash[[#This Row],[Date]], schedule[Finish Date],"&gt;="&amp;day_cash[[#This Row],[Date]])</f>
        <v>0</v>
      </c>
      <c r="D199" s="4">
        <f>SUMIFS(schedule[Material CPP], schedule[Start Date],"&lt;="&amp;day_cash[[#This Row],[Date]]-$D$2, schedule[Finish Date],"&gt;="&amp;day_cash[[#This Row],[Date]]-$D$2)</f>
        <v>0</v>
      </c>
      <c r="E199" s="4">
        <f>SUMIFS(schedule[Equipment CPP], schedule[Start Date],"&lt;="&amp;day_cash[[#This Row],[Date]]-$E$2, schedule[Finish Date],"&gt;="&amp;day_cash[[#This Row],[Date]]-$E$2)</f>
        <v>0</v>
      </c>
      <c r="F199" s="4">
        <f>SUMIFS(schedule[Sub CPP], schedule[Start Date],"&lt;="&amp;day_cash[[#This Row],[Date]]-$F$2, schedule[Finish Date],"&gt;="&amp;day_cash[[#This Row],[Date]]-$F$2)</f>
        <v>1936.6197183098591</v>
      </c>
      <c r="G199" s="3">
        <f>SUMIFS(schedule[Other CPP], schedule[Start Date],"&lt;="&amp;day_cash[[#This Row],[Date]]-$G$2, schedule[Finish Date],"&gt;="&amp;day_cash[[#This Row],[Date]]-$G$2)</f>
        <v>0</v>
      </c>
      <c r="H199" s="3">
        <f>SUM(day_cash[[#This Row],[Labor Cost]:[Other Cost]])</f>
        <v>1936.6197183098591</v>
      </c>
      <c r="I199" s="3">
        <f>SUMIFS(schedule[Revenue per Day], schedule[Start Date],"&lt;="&amp;day_cash[[#This Row],[Date]]-$I$2, schedule[Finish Date],"&gt;="&amp;day_cash[[#This Row],[Date]]-$I$2)</f>
        <v>8346.2884223580477</v>
      </c>
      <c r="J199" s="3">
        <f>SUM(day_cash[[#Headers],[Labor Cost]]:day_cash[[#This Row],[Labor Cost]])</f>
        <v>594999.99999999988</v>
      </c>
      <c r="K199" s="3">
        <f>SUM(day_cash[[#Headers],[Material Cost]]:day_cash[[#This Row],[Material Cost]])</f>
        <v>261249.99999999951</v>
      </c>
      <c r="L199" s="3">
        <f>SUM(day_cash[[#Headers],[Equipment Cost]]:day_cash[[#This Row],[Equipment Cost]])</f>
        <v>87999.999999999796</v>
      </c>
      <c r="M199" s="3">
        <f>SUM(day_cash[[#Headers],[Sub Cost]]:day_cash[[#This Row],[Sub Cost]])</f>
        <v>536211.26760563301</v>
      </c>
      <c r="N199" s="3">
        <f>SUM(day_cash[[#Headers],[Other Cost]]:day_cash[[#This Row],[Other Cost]])</f>
        <v>58499.999999999847</v>
      </c>
      <c r="O199" s="3">
        <f>SUM(day_cash[[#This Row],[Cumulative Labor]:[Cumulative Other]])</f>
        <v>1538961.2676056318</v>
      </c>
      <c r="P199" s="3">
        <f>SUM(day_cash[[#Headers],[Revenue]]:day_cash[[#This Row],[Revenue]])</f>
        <v>1696742.712596331</v>
      </c>
    </row>
    <row r="200" spans="2:16" x14ac:dyDescent="0.45">
      <c r="B200" s="1">
        <v>46583</v>
      </c>
      <c r="C200" s="4">
        <f>SUMIFS(schedule[Labor CPP], schedule[Start Date],"&lt;="&amp;day_cash[[#This Row],[Date]], schedule[Finish Date],"&gt;="&amp;day_cash[[#This Row],[Date]])</f>
        <v>0</v>
      </c>
      <c r="D200" s="4">
        <f>SUMIFS(schedule[Material CPP], schedule[Start Date],"&lt;="&amp;day_cash[[#This Row],[Date]]-$D$2, schedule[Finish Date],"&gt;="&amp;day_cash[[#This Row],[Date]]-$D$2)</f>
        <v>0</v>
      </c>
      <c r="E200" s="4">
        <f>SUMIFS(schedule[Equipment CPP], schedule[Start Date],"&lt;="&amp;day_cash[[#This Row],[Date]]-$E$2, schedule[Finish Date],"&gt;="&amp;day_cash[[#This Row],[Date]]-$E$2)</f>
        <v>0</v>
      </c>
      <c r="F200" s="4">
        <f>SUMIFS(schedule[Sub CPP], schedule[Start Date],"&lt;="&amp;day_cash[[#This Row],[Date]]-$F$2, schedule[Finish Date],"&gt;="&amp;day_cash[[#This Row],[Date]]-$F$2)</f>
        <v>1936.6197183098591</v>
      </c>
      <c r="G200" s="3">
        <f>SUMIFS(schedule[Other CPP], schedule[Start Date],"&lt;="&amp;day_cash[[#This Row],[Date]]-$G$2, schedule[Finish Date],"&gt;="&amp;day_cash[[#This Row],[Date]]-$G$2)</f>
        <v>0</v>
      </c>
      <c r="H200" s="3">
        <f>SUM(day_cash[[#This Row],[Labor Cost]:[Other Cost]])</f>
        <v>1936.6197183098591</v>
      </c>
      <c r="I200" s="3">
        <f>SUMIFS(schedule[Revenue per Day], schedule[Start Date],"&lt;="&amp;day_cash[[#This Row],[Date]]-$I$2, schedule[Finish Date],"&gt;="&amp;day_cash[[#This Row],[Date]]-$I$2)</f>
        <v>8346.2884223580477</v>
      </c>
      <c r="J200" s="3">
        <f>SUM(day_cash[[#Headers],[Labor Cost]]:day_cash[[#This Row],[Labor Cost]])</f>
        <v>594999.99999999988</v>
      </c>
      <c r="K200" s="3">
        <f>SUM(day_cash[[#Headers],[Material Cost]]:day_cash[[#This Row],[Material Cost]])</f>
        <v>261249.99999999951</v>
      </c>
      <c r="L200" s="3">
        <f>SUM(day_cash[[#Headers],[Equipment Cost]]:day_cash[[#This Row],[Equipment Cost]])</f>
        <v>87999.999999999796</v>
      </c>
      <c r="M200" s="3">
        <f>SUM(day_cash[[#Headers],[Sub Cost]]:day_cash[[#This Row],[Sub Cost]])</f>
        <v>538147.88732394285</v>
      </c>
      <c r="N200" s="3">
        <f>SUM(day_cash[[#Headers],[Other Cost]]:day_cash[[#This Row],[Other Cost]])</f>
        <v>58499.999999999847</v>
      </c>
      <c r="O200" s="3">
        <f>SUM(day_cash[[#This Row],[Cumulative Labor]:[Cumulative Other]])</f>
        <v>1540897.8873239418</v>
      </c>
      <c r="P200" s="3">
        <f>SUM(day_cash[[#Headers],[Revenue]]:day_cash[[#This Row],[Revenue]])</f>
        <v>1705089.001018689</v>
      </c>
    </row>
    <row r="201" spans="2:16" x14ac:dyDescent="0.45">
      <c r="B201" s="1">
        <v>46584</v>
      </c>
      <c r="C201" s="4">
        <f>SUMIFS(schedule[Labor CPP], schedule[Start Date],"&lt;="&amp;day_cash[[#This Row],[Date]], schedule[Finish Date],"&gt;="&amp;day_cash[[#This Row],[Date]])</f>
        <v>0</v>
      </c>
      <c r="D201" s="4">
        <f>SUMIFS(schedule[Material CPP], schedule[Start Date],"&lt;="&amp;day_cash[[#This Row],[Date]]-$D$2, schedule[Finish Date],"&gt;="&amp;day_cash[[#This Row],[Date]]-$D$2)</f>
        <v>0</v>
      </c>
      <c r="E201" s="4">
        <f>SUMIFS(schedule[Equipment CPP], schedule[Start Date],"&lt;="&amp;day_cash[[#This Row],[Date]]-$E$2, schedule[Finish Date],"&gt;="&amp;day_cash[[#This Row],[Date]]-$E$2)</f>
        <v>0</v>
      </c>
      <c r="F201" s="4">
        <f>SUMIFS(schedule[Sub CPP], schedule[Start Date],"&lt;="&amp;day_cash[[#This Row],[Date]]-$F$2, schedule[Finish Date],"&gt;="&amp;day_cash[[#This Row],[Date]]-$F$2)</f>
        <v>1936.6197183098591</v>
      </c>
      <c r="G201" s="3">
        <f>SUMIFS(schedule[Other CPP], schedule[Start Date],"&lt;="&amp;day_cash[[#This Row],[Date]]-$G$2, schedule[Finish Date],"&gt;="&amp;day_cash[[#This Row],[Date]]-$G$2)</f>
        <v>0</v>
      </c>
      <c r="H201" s="3">
        <f>SUM(day_cash[[#This Row],[Labor Cost]:[Other Cost]])</f>
        <v>1936.6197183098591</v>
      </c>
      <c r="I201" s="3">
        <f>SUMIFS(schedule[Revenue per Day], schedule[Start Date],"&lt;="&amp;day_cash[[#This Row],[Date]]-$I$2, schedule[Finish Date],"&gt;="&amp;day_cash[[#This Row],[Date]]-$I$2)</f>
        <v>8346.2884223580477</v>
      </c>
      <c r="J201" s="3">
        <f>SUM(day_cash[[#Headers],[Labor Cost]]:day_cash[[#This Row],[Labor Cost]])</f>
        <v>594999.99999999988</v>
      </c>
      <c r="K201" s="3">
        <f>SUM(day_cash[[#Headers],[Material Cost]]:day_cash[[#This Row],[Material Cost]])</f>
        <v>261249.99999999951</v>
      </c>
      <c r="L201" s="3">
        <f>SUM(day_cash[[#Headers],[Equipment Cost]]:day_cash[[#This Row],[Equipment Cost]])</f>
        <v>87999.999999999796</v>
      </c>
      <c r="M201" s="3">
        <f>SUM(day_cash[[#Headers],[Sub Cost]]:day_cash[[#This Row],[Sub Cost]])</f>
        <v>540084.50704225269</v>
      </c>
      <c r="N201" s="3">
        <f>SUM(day_cash[[#Headers],[Other Cost]]:day_cash[[#This Row],[Other Cost]])</f>
        <v>58499.999999999847</v>
      </c>
      <c r="O201" s="3">
        <f>SUM(day_cash[[#This Row],[Cumulative Labor]:[Cumulative Other]])</f>
        <v>1542834.5070422518</v>
      </c>
      <c r="P201" s="3">
        <f>SUM(day_cash[[#Headers],[Revenue]]:day_cash[[#This Row],[Revenue]])</f>
        <v>1713435.289441047</v>
      </c>
    </row>
    <row r="202" spans="2:16" x14ac:dyDescent="0.45">
      <c r="B202" s="1">
        <v>46585</v>
      </c>
      <c r="C202" s="4">
        <f>SUMIFS(schedule[Labor CPP], schedule[Start Date],"&lt;="&amp;day_cash[[#This Row],[Date]], schedule[Finish Date],"&gt;="&amp;day_cash[[#This Row],[Date]])</f>
        <v>0</v>
      </c>
      <c r="D202" s="4">
        <f>SUMIFS(schedule[Material CPP], schedule[Start Date],"&lt;="&amp;day_cash[[#This Row],[Date]]-$D$2, schedule[Finish Date],"&gt;="&amp;day_cash[[#This Row],[Date]]-$D$2)</f>
        <v>0</v>
      </c>
      <c r="E202" s="4">
        <f>SUMIFS(schedule[Equipment CPP], schedule[Start Date],"&lt;="&amp;day_cash[[#This Row],[Date]]-$E$2, schedule[Finish Date],"&gt;="&amp;day_cash[[#This Row],[Date]]-$E$2)</f>
        <v>0</v>
      </c>
      <c r="F202" s="4">
        <f>SUMIFS(schedule[Sub CPP], schedule[Start Date],"&lt;="&amp;day_cash[[#This Row],[Date]]-$F$2, schedule[Finish Date],"&gt;="&amp;day_cash[[#This Row],[Date]]-$F$2)</f>
        <v>1936.6197183098591</v>
      </c>
      <c r="G202" s="3">
        <f>SUMIFS(schedule[Other CPP], schedule[Start Date],"&lt;="&amp;day_cash[[#This Row],[Date]]-$G$2, schedule[Finish Date],"&gt;="&amp;day_cash[[#This Row],[Date]]-$G$2)</f>
        <v>0</v>
      </c>
      <c r="H202" s="3">
        <f>SUM(day_cash[[#This Row],[Labor Cost]:[Other Cost]])</f>
        <v>1936.6197183098591</v>
      </c>
      <c r="I202" s="3">
        <f>SUMIFS(schedule[Revenue per Day], schedule[Start Date],"&lt;="&amp;day_cash[[#This Row],[Date]]-$I$2, schedule[Finish Date],"&gt;="&amp;day_cash[[#This Row],[Date]]-$I$2)</f>
        <v>8346.2884223580477</v>
      </c>
      <c r="J202" s="3">
        <f>SUM(day_cash[[#Headers],[Labor Cost]]:day_cash[[#This Row],[Labor Cost]])</f>
        <v>594999.99999999988</v>
      </c>
      <c r="K202" s="3">
        <f>SUM(day_cash[[#Headers],[Material Cost]]:day_cash[[#This Row],[Material Cost]])</f>
        <v>261249.99999999951</v>
      </c>
      <c r="L202" s="3">
        <f>SUM(day_cash[[#Headers],[Equipment Cost]]:day_cash[[#This Row],[Equipment Cost]])</f>
        <v>87999.999999999796</v>
      </c>
      <c r="M202" s="3">
        <f>SUM(day_cash[[#Headers],[Sub Cost]]:day_cash[[#This Row],[Sub Cost]])</f>
        <v>542021.12676056253</v>
      </c>
      <c r="N202" s="3">
        <f>SUM(day_cash[[#Headers],[Other Cost]]:day_cash[[#This Row],[Other Cost]])</f>
        <v>58499.999999999847</v>
      </c>
      <c r="O202" s="3">
        <f>SUM(day_cash[[#This Row],[Cumulative Labor]:[Cumulative Other]])</f>
        <v>1544771.1267605615</v>
      </c>
      <c r="P202" s="3">
        <f>SUM(day_cash[[#Headers],[Revenue]]:day_cash[[#This Row],[Revenue]])</f>
        <v>1721781.577863405</v>
      </c>
    </row>
    <row r="203" spans="2:16" x14ac:dyDescent="0.45">
      <c r="B203" s="1">
        <v>46586</v>
      </c>
      <c r="C203" s="4">
        <f>SUMIFS(schedule[Labor CPP], schedule[Start Date],"&lt;="&amp;day_cash[[#This Row],[Date]], schedule[Finish Date],"&gt;="&amp;day_cash[[#This Row],[Date]])</f>
        <v>0</v>
      </c>
      <c r="D203" s="4">
        <f>SUMIFS(schedule[Material CPP], schedule[Start Date],"&lt;="&amp;day_cash[[#This Row],[Date]]-$D$2, schedule[Finish Date],"&gt;="&amp;day_cash[[#This Row],[Date]]-$D$2)</f>
        <v>0</v>
      </c>
      <c r="E203" s="4">
        <f>SUMIFS(schedule[Equipment CPP], schedule[Start Date],"&lt;="&amp;day_cash[[#This Row],[Date]]-$E$2, schedule[Finish Date],"&gt;="&amp;day_cash[[#This Row],[Date]]-$E$2)</f>
        <v>0</v>
      </c>
      <c r="F203" s="4">
        <f>SUMIFS(schedule[Sub CPP], schedule[Start Date],"&lt;="&amp;day_cash[[#This Row],[Date]]-$F$2, schedule[Finish Date],"&gt;="&amp;day_cash[[#This Row],[Date]]-$F$2)</f>
        <v>1936.6197183098591</v>
      </c>
      <c r="G203" s="3">
        <f>SUMIFS(schedule[Other CPP], schedule[Start Date],"&lt;="&amp;day_cash[[#This Row],[Date]]-$G$2, schedule[Finish Date],"&gt;="&amp;day_cash[[#This Row],[Date]]-$G$2)</f>
        <v>0</v>
      </c>
      <c r="H203" s="3">
        <f>SUM(day_cash[[#This Row],[Labor Cost]:[Other Cost]])</f>
        <v>1936.6197183098591</v>
      </c>
      <c r="I203" s="3">
        <f>SUMIFS(schedule[Revenue per Day], schedule[Start Date],"&lt;="&amp;day_cash[[#This Row],[Date]]-$I$2, schedule[Finish Date],"&gt;="&amp;day_cash[[#This Row],[Date]]-$I$2)</f>
        <v>8346.2884223580477</v>
      </c>
      <c r="J203" s="3">
        <f>SUM(day_cash[[#Headers],[Labor Cost]]:day_cash[[#This Row],[Labor Cost]])</f>
        <v>594999.99999999988</v>
      </c>
      <c r="K203" s="3">
        <f>SUM(day_cash[[#Headers],[Material Cost]]:day_cash[[#This Row],[Material Cost]])</f>
        <v>261249.99999999951</v>
      </c>
      <c r="L203" s="3">
        <f>SUM(day_cash[[#Headers],[Equipment Cost]]:day_cash[[#This Row],[Equipment Cost]])</f>
        <v>87999.999999999796</v>
      </c>
      <c r="M203" s="3">
        <f>SUM(day_cash[[#Headers],[Sub Cost]]:day_cash[[#This Row],[Sub Cost]])</f>
        <v>543957.74647887237</v>
      </c>
      <c r="N203" s="3">
        <f>SUM(day_cash[[#Headers],[Other Cost]]:day_cash[[#This Row],[Other Cost]])</f>
        <v>58499.999999999847</v>
      </c>
      <c r="O203" s="3">
        <f>SUM(day_cash[[#This Row],[Cumulative Labor]:[Cumulative Other]])</f>
        <v>1546707.7464788712</v>
      </c>
      <c r="P203" s="3">
        <f>SUM(day_cash[[#Headers],[Revenue]]:day_cash[[#This Row],[Revenue]])</f>
        <v>1730127.866285763</v>
      </c>
    </row>
    <row r="204" spans="2:16" x14ac:dyDescent="0.45">
      <c r="B204" s="1">
        <v>46587</v>
      </c>
      <c r="C204" s="4">
        <f>SUMIFS(schedule[Labor CPP], schedule[Start Date],"&lt;="&amp;day_cash[[#This Row],[Date]], schedule[Finish Date],"&gt;="&amp;day_cash[[#This Row],[Date]])</f>
        <v>0</v>
      </c>
      <c r="D204" s="4">
        <f>SUMIFS(schedule[Material CPP], schedule[Start Date],"&lt;="&amp;day_cash[[#This Row],[Date]]-$D$2, schedule[Finish Date],"&gt;="&amp;day_cash[[#This Row],[Date]]-$D$2)</f>
        <v>0</v>
      </c>
      <c r="E204" s="4">
        <f>SUMIFS(schedule[Equipment CPP], schedule[Start Date],"&lt;="&amp;day_cash[[#This Row],[Date]]-$E$2, schedule[Finish Date],"&gt;="&amp;day_cash[[#This Row],[Date]]-$E$2)</f>
        <v>0</v>
      </c>
      <c r="F204" s="4">
        <f>SUMIFS(schedule[Sub CPP], schedule[Start Date],"&lt;="&amp;day_cash[[#This Row],[Date]]-$F$2, schedule[Finish Date],"&gt;="&amp;day_cash[[#This Row],[Date]]-$F$2)</f>
        <v>1936.6197183098591</v>
      </c>
      <c r="G204" s="3">
        <f>SUMIFS(schedule[Other CPP], schedule[Start Date],"&lt;="&amp;day_cash[[#This Row],[Date]]-$G$2, schedule[Finish Date],"&gt;="&amp;day_cash[[#This Row],[Date]]-$G$2)</f>
        <v>0</v>
      </c>
      <c r="H204" s="3">
        <f>SUM(day_cash[[#This Row],[Labor Cost]:[Other Cost]])</f>
        <v>1936.6197183098591</v>
      </c>
      <c r="I204" s="3">
        <f>SUMIFS(schedule[Revenue per Day], schedule[Start Date],"&lt;="&amp;day_cash[[#This Row],[Date]]-$I$2, schedule[Finish Date],"&gt;="&amp;day_cash[[#This Row],[Date]]-$I$2)</f>
        <v>8346.2884223580477</v>
      </c>
      <c r="J204" s="3">
        <f>SUM(day_cash[[#Headers],[Labor Cost]]:day_cash[[#This Row],[Labor Cost]])</f>
        <v>594999.99999999988</v>
      </c>
      <c r="K204" s="3">
        <f>SUM(day_cash[[#Headers],[Material Cost]]:day_cash[[#This Row],[Material Cost]])</f>
        <v>261249.99999999951</v>
      </c>
      <c r="L204" s="3">
        <f>SUM(day_cash[[#Headers],[Equipment Cost]]:day_cash[[#This Row],[Equipment Cost]])</f>
        <v>87999.999999999796</v>
      </c>
      <c r="M204" s="3">
        <f>SUM(day_cash[[#Headers],[Sub Cost]]:day_cash[[#This Row],[Sub Cost]])</f>
        <v>545894.36619718221</v>
      </c>
      <c r="N204" s="3">
        <f>SUM(day_cash[[#Headers],[Other Cost]]:day_cash[[#This Row],[Other Cost]])</f>
        <v>58499.999999999847</v>
      </c>
      <c r="O204" s="3">
        <f>SUM(day_cash[[#This Row],[Cumulative Labor]:[Cumulative Other]])</f>
        <v>1548644.3661971812</v>
      </c>
      <c r="P204" s="3">
        <f>SUM(day_cash[[#Headers],[Revenue]]:day_cash[[#This Row],[Revenue]])</f>
        <v>1738474.154708121</v>
      </c>
    </row>
    <row r="205" spans="2:16" x14ac:dyDescent="0.45">
      <c r="B205" s="1">
        <v>46588</v>
      </c>
      <c r="C205" s="4">
        <f>SUMIFS(schedule[Labor CPP], schedule[Start Date],"&lt;="&amp;day_cash[[#This Row],[Date]], schedule[Finish Date],"&gt;="&amp;day_cash[[#This Row],[Date]])</f>
        <v>0</v>
      </c>
      <c r="D205" s="4">
        <f>SUMIFS(schedule[Material CPP], schedule[Start Date],"&lt;="&amp;day_cash[[#This Row],[Date]]-$D$2, schedule[Finish Date],"&gt;="&amp;day_cash[[#This Row],[Date]]-$D$2)</f>
        <v>0</v>
      </c>
      <c r="E205" s="4">
        <f>SUMIFS(schedule[Equipment CPP], schedule[Start Date],"&lt;="&amp;day_cash[[#This Row],[Date]]-$E$2, schedule[Finish Date],"&gt;="&amp;day_cash[[#This Row],[Date]]-$E$2)</f>
        <v>0</v>
      </c>
      <c r="F205" s="4">
        <f>SUMIFS(schedule[Sub CPP], schedule[Start Date],"&lt;="&amp;day_cash[[#This Row],[Date]]-$F$2, schedule[Finish Date],"&gt;="&amp;day_cash[[#This Row],[Date]]-$F$2)</f>
        <v>1936.6197183098591</v>
      </c>
      <c r="G205" s="3">
        <f>SUMIFS(schedule[Other CPP], schedule[Start Date],"&lt;="&amp;day_cash[[#This Row],[Date]]-$G$2, schedule[Finish Date],"&gt;="&amp;day_cash[[#This Row],[Date]]-$G$2)</f>
        <v>0</v>
      </c>
      <c r="H205" s="3">
        <f>SUM(day_cash[[#This Row],[Labor Cost]:[Other Cost]])</f>
        <v>1936.6197183098591</v>
      </c>
      <c r="I205" s="3">
        <f>SUMIFS(schedule[Revenue per Day], schedule[Start Date],"&lt;="&amp;day_cash[[#This Row],[Date]]-$I$2, schedule[Finish Date],"&gt;="&amp;day_cash[[#This Row],[Date]]-$I$2)</f>
        <v>8346.2884223580477</v>
      </c>
      <c r="J205" s="3">
        <f>SUM(day_cash[[#Headers],[Labor Cost]]:day_cash[[#This Row],[Labor Cost]])</f>
        <v>594999.99999999988</v>
      </c>
      <c r="K205" s="3">
        <f>SUM(day_cash[[#Headers],[Material Cost]]:day_cash[[#This Row],[Material Cost]])</f>
        <v>261249.99999999951</v>
      </c>
      <c r="L205" s="3">
        <f>SUM(day_cash[[#Headers],[Equipment Cost]]:day_cash[[#This Row],[Equipment Cost]])</f>
        <v>87999.999999999796</v>
      </c>
      <c r="M205" s="3">
        <f>SUM(day_cash[[#Headers],[Sub Cost]]:day_cash[[#This Row],[Sub Cost]])</f>
        <v>547830.98591549206</v>
      </c>
      <c r="N205" s="3">
        <f>SUM(day_cash[[#Headers],[Other Cost]]:day_cash[[#This Row],[Other Cost]])</f>
        <v>58499.999999999847</v>
      </c>
      <c r="O205" s="3">
        <f>SUM(day_cash[[#This Row],[Cumulative Labor]:[Cumulative Other]])</f>
        <v>1550580.9859154911</v>
      </c>
      <c r="P205" s="3">
        <f>SUM(day_cash[[#Headers],[Revenue]]:day_cash[[#This Row],[Revenue]])</f>
        <v>1746820.443130479</v>
      </c>
    </row>
    <row r="206" spans="2:16" x14ac:dyDescent="0.45">
      <c r="B206" s="1">
        <v>46589</v>
      </c>
      <c r="C206" s="4">
        <f>SUMIFS(schedule[Labor CPP], schedule[Start Date],"&lt;="&amp;day_cash[[#This Row],[Date]], schedule[Finish Date],"&gt;="&amp;day_cash[[#This Row],[Date]])</f>
        <v>0</v>
      </c>
      <c r="D206" s="4">
        <f>SUMIFS(schedule[Material CPP], schedule[Start Date],"&lt;="&amp;day_cash[[#This Row],[Date]]-$D$2, schedule[Finish Date],"&gt;="&amp;day_cash[[#This Row],[Date]]-$D$2)</f>
        <v>0</v>
      </c>
      <c r="E206" s="4">
        <f>SUMIFS(schedule[Equipment CPP], schedule[Start Date],"&lt;="&amp;day_cash[[#This Row],[Date]]-$E$2, schedule[Finish Date],"&gt;="&amp;day_cash[[#This Row],[Date]]-$E$2)</f>
        <v>0</v>
      </c>
      <c r="F206" s="4">
        <f>SUMIFS(schedule[Sub CPP], schedule[Start Date],"&lt;="&amp;day_cash[[#This Row],[Date]]-$F$2, schedule[Finish Date],"&gt;="&amp;day_cash[[#This Row],[Date]]-$F$2)</f>
        <v>1936.6197183098591</v>
      </c>
      <c r="G206" s="3">
        <f>SUMIFS(schedule[Other CPP], schedule[Start Date],"&lt;="&amp;day_cash[[#This Row],[Date]]-$G$2, schedule[Finish Date],"&gt;="&amp;day_cash[[#This Row],[Date]]-$G$2)</f>
        <v>0</v>
      </c>
      <c r="H206" s="3">
        <f>SUM(day_cash[[#This Row],[Labor Cost]:[Other Cost]])</f>
        <v>1936.6197183098591</v>
      </c>
      <c r="I206" s="3">
        <f>SUMIFS(schedule[Revenue per Day], schedule[Start Date],"&lt;="&amp;day_cash[[#This Row],[Date]]-$I$2, schedule[Finish Date],"&gt;="&amp;day_cash[[#This Row],[Date]]-$I$2)</f>
        <v>8346.2884223580477</v>
      </c>
      <c r="J206" s="3">
        <f>SUM(day_cash[[#Headers],[Labor Cost]]:day_cash[[#This Row],[Labor Cost]])</f>
        <v>594999.99999999988</v>
      </c>
      <c r="K206" s="3">
        <f>SUM(day_cash[[#Headers],[Material Cost]]:day_cash[[#This Row],[Material Cost]])</f>
        <v>261249.99999999951</v>
      </c>
      <c r="L206" s="3">
        <f>SUM(day_cash[[#Headers],[Equipment Cost]]:day_cash[[#This Row],[Equipment Cost]])</f>
        <v>87999.999999999796</v>
      </c>
      <c r="M206" s="3">
        <f>SUM(day_cash[[#Headers],[Sub Cost]]:day_cash[[#This Row],[Sub Cost]])</f>
        <v>549767.6056338019</v>
      </c>
      <c r="N206" s="3">
        <f>SUM(day_cash[[#Headers],[Other Cost]]:day_cash[[#This Row],[Other Cost]])</f>
        <v>58499.999999999847</v>
      </c>
      <c r="O206" s="3">
        <f>SUM(day_cash[[#This Row],[Cumulative Labor]:[Cumulative Other]])</f>
        <v>1552517.6056338008</v>
      </c>
      <c r="P206" s="3">
        <f>SUM(day_cash[[#Headers],[Revenue]]:day_cash[[#This Row],[Revenue]])</f>
        <v>1755166.731552837</v>
      </c>
    </row>
    <row r="207" spans="2:16" x14ac:dyDescent="0.45">
      <c r="B207" s="1">
        <v>46590</v>
      </c>
      <c r="C207" s="4">
        <f>SUMIFS(schedule[Labor CPP], schedule[Start Date],"&lt;="&amp;day_cash[[#This Row],[Date]], schedule[Finish Date],"&gt;="&amp;day_cash[[#This Row],[Date]])</f>
        <v>0</v>
      </c>
      <c r="D207" s="4">
        <f>SUMIFS(schedule[Material CPP], schedule[Start Date],"&lt;="&amp;day_cash[[#This Row],[Date]]-$D$2, schedule[Finish Date],"&gt;="&amp;day_cash[[#This Row],[Date]]-$D$2)</f>
        <v>0</v>
      </c>
      <c r="E207" s="4">
        <f>SUMIFS(schedule[Equipment CPP], schedule[Start Date],"&lt;="&amp;day_cash[[#This Row],[Date]]-$E$2, schedule[Finish Date],"&gt;="&amp;day_cash[[#This Row],[Date]]-$E$2)</f>
        <v>0</v>
      </c>
      <c r="F207" s="4">
        <f>SUMIFS(schedule[Sub CPP], schedule[Start Date],"&lt;="&amp;day_cash[[#This Row],[Date]]-$F$2, schedule[Finish Date],"&gt;="&amp;day_cash[[#This Row],[Date]]-$F$2)</f>
        <v>1936.6197183098591</v>
      </c>
      <c r="G207" s="3">
        <f>SUMIFS(schedule[Other CPP], schedule[Start Date],"&lt;="&amp;day_cash[[#This Row],[Date]]-$G$2, schedule[Finish Date],"&gt;="&amp;day_cash[[#This Row],[Date]]-$G$2)</f>
        <v>0</v>
      </c>
      <c r="H207" s="3">
        <f>SUM(day_cash[[#This Row],[Labor Cost]:[Other Cost]])</f>
        <v>1936.6197183098591</v>
      </c>
      <c r="I207" s="3">
        <f>SUMIFS(schedule[Revenue per Day], schedule[Start Date],"&lt;="&amp;day_cash[[#This Row],[Date]]-$I$2, schedule[Finish Date],"&gt;="&amp;day_cash[[#This Row],[Date]]-$I$2)</f>
        <v>8346.2884223580477</v>
      </c>
      <c r="J207" s="3">
        <f>SUM(day_cash[[#Headers],[Labor Cost]]:day_cash[[#This Row],[Labor Cost]])</f>
        <v>594999.99999999988</v>
      </c>
      <c r="K207" s="3">
        <f>SUM(day_cash[[#Headers],[Material Cost]]:day_cash[[#This Row],[Material Cost]])</f>
        <v>261249.99999999951</v>
      </c>
      <c r="L207" s="3">
        <f>SUM(day_cash[[#Headers],[Equipment Cost]]:day_cash[[#This Row],[Equipment Cost]])</f>
        <v>87999.999999999796</v>
      </c>
      <c r="M207" s="3">
        <f>SUM(day_cash[[#Headers],[Sub Cost]]:day_cash[[#This Row],[Sub Cost]])</f>
        <v>551704.22535211174</v>
      </c>
      <c r="N207" s="3">
        <f>SUM(day_cash[[#Headers],[Other Cost]]:day_cash[[#This Row],[Other Cost]])</f>
        <v>58499.999999999847</v>
      </c>
      <c r="O207" s="3">
        <f>SUM(day_cash[[#This Row],[Cumulative Labor]:[Cumulative Other]])</f>
        <v>1554454.2253521106</v>
      </c>
      <c r="P207" s="3">
        <f>SUM(day_cash[[#Headers],[Revenue]]:day_cash[[#This Row],[Revenue]])</f>
        <v>1763513.0199751949</v>
      </c>
    </row>
    <row r="208" spans="2:16" x14ac:dyDescent="0.45">
      <c r="B208" s="1">
        <v>46591</v>
      </c>
      <c r="C208" s="4">
        <f>SUMIFS(schedule[Labor CPP], schedule[Start Date],"&lt;="&amp;day_cash[[#This Row],[Date]], schedule[Finish Date],"&gt;="&amp;day_cash[[#This Row],[Date]])</f>
        <v>0</v>
      </c>
      <c r="D208" s="4">
        <f>SUMIFS(schedule[Material CPP], schedule[Start Date],"&lt;="&amp;day_cash[[#This Row],[Date]]-$D$2, schedule[Finish Date],"&gt;="&amp;day_cash[[#This Row],[Date]]-$D$2)</f>
        <v>0</v>
      </c>
      <c r="E208" s="4">
        <f>SUMIFS(schedule[Equipment CPP], schedule[Start Date],"&lt;="&amp;day_cash[[#This Row],[Date]]-$E$2, schedule[Finish Date],"&gt;="&amp;day_cash[[#This Row],[Date]]-$E$2)</f>
        <v>0</v>
      </c>
      <c r="F208" s="4">
        <f>SUMIFS(schedule[Sub CPP], schedule[Start Date],"&lt;="&amp;day_cash[[#This Row],[Date]]-$F$2, schedule[Finish Date],"&gt;="&amp;day_cash[[#This Row],[Date]]-$F$2)</f>
        <v>13749.119718309857</v>
      </c>
      <c r="G208" s="3">
        <f>SUMIFS(schedule[Other CPP], schedule[Start Date],"&lt;="&amp;day_cash[[#This Row],[Date]]-$G$2, schedule[Finish Date],"&gt;="&amp;day_cash[[#This Row],[Date]]-$G$2)</f>
        <v>0</v>
      </c>
      <c r="H208" s="3">
        <f>SUM(day_cash[[#This Row],[Labor Cost]:[Other Cost]])</f>
        <v>13749.119718309857</v>
      </c>
      <c r="I208" s="3">
        <f>SUMIFS(schedule[Revenue per Day], schedule[Start Date],"&lt;="&amp;day_cash[[#This Row],[Date]]-$I$2, schedule[Finish Date],"&gt;="&amp;day_cash[[#This Row],[Date]]-$I$2)</f>
        <v>23481.705089024716</v>
      </c>
      <c r="J208" s="3">
        <f>SUM(day_cash[[#Headers],[Labor Cost]]:day_cash[[#This Row],[Labor Cost]])</f>
        <v>594999.99999999988</v>
      </c>
      <c r="K208" s="3">
        <f>SUM(day_cash[[#Headers],[Material Cost]]:day_cash[[#This Row],[Material Cost]])</f>
        <v>261249.99999999951</v>
      </c>
      <c r="L208" s="3">
        <f>SUM(day_cash[[#Headers],[Equipment Cost]]:day_cash[[#This Row],[Equipment Cost]])</f>
        <v>87999.999999999796</v>
      </c>
      <c r="M208" s="3">
        <f>SUM(day_cash[[#Headers],[Sub Cost]]:day_cash[[#This Row],[Sub Cost]])</f>
        <v>565453.34507042158</v>
      </c>
      <c r="N208" s="3">
        <f>SUM(day_cash[[#Headers],[Other Cost]]:day_cash[[#This Row],[Other Cost]])</f>
        <v>58499.999999999847</v>
      </c>
      <c r="O208" s="3">
        <f>SUM(day_cash[[#This Row],[Cumulative Labor]:[Cumulative Other]])</f>
        <v>1568203.3450704205</v>
      </c>
      <c r="P208" s="3">
        <f>SUM(day_cash[[#Headers],[Revenue]]:day_cash[[#This Row],[Revenue]])</f>
        <v>1786994.7250642197</v>
      </c>
    </row>
    <row r="209" spans="2:16" x14ac:dyDescent="0.45">
      <c r="B209" s="1">
        <v>46592</v>
      </c>
      <c r="C209" s="4">
        <f>SUMIFS(schedule[Labor CPP], schedule[Start Date],"&lt;="&amp;day_cash[[#This Row],[Date]], schedule[Finish Date],"&gt;="&amp;day_cash[[#This Row],[Date]])</f>
        <v>0</v>
      </c>
      <c r="D209" s="4">
        <f>SUMIFS(schedule[Material CPP], schedule[Start Date],"&lt;="&amp;day_cash[[#This Row],[Date]]-$D$2, schedule[Finish Date],"&gt;="&amp;day_cash[[#This Row],[Date]]-$D$2)</f>
        <v>0</v>
      </c>
      <c r="E209" s="4">
        <f>SUMIFS(schedule[Equipment CPP], schedule[Start Date],"&lt;="&amp;day_cash[[#This Row],[Date]]-$E$2, schedule[Finish Date],"&gt;="&amp;day_cash[[#This Row],[Date]]-$E$2)</f>
        <v>0</v>
      </c>
      <c r="F209" s="4">
        <f>SUMIFS(schedule[Sub CPP], schedule[Start Date],"&lt;="&amp;day_cash[[#This Row],[Date]]-$F$2, schedule[Finish Date],"&gt;="&amp;day_cash[[#This Row],[Date]]-$F$2)</f>
        <v>13749.119718309857</v>
      </c>
      <c r="G209" s="3">
        <f>SUMIFS(schedule[Other CPP], schedule[Start Date],"&lt;="&amp;day_cash[[#This Row],[Date]]-$G$2, schedule[Finish Date],"&gt;="&amp;day_cash[[#This Row],[Date]]-$G$2)</f>
        <v>0</v>
      </c>
      <c r="H209" s="3">
        <f>SUM(day_cash[[#This Row],[Labor Cost]:[Other Cost]])</f>
        <v>13749.119718309857</v>
      </c>
      <c r="I209" s="3">
        <f>SUMIFS(schedule[Revenue per Day], schedule[Start Date],"&lt;="&amp;day_cash[[#This Row],[Date]]-$I$2, schedule[Finish Date],"&gt;="&amp;day_cash[[#This Row],[Date]]-$I$2)</f>
        <v>23481.705089024716</v>
      </c>
      <c r="J209" s="3">
        <f>SUM(day_cash[[#Headers],[Labor Cost]]:day_cash[[#This Row],[Labor Cost]])</f>
        <v>594999.99999999988</v>
      </c>
      <c r="K209" s="3">
        <f>SUM(day_cash[[#Headers],[Material Cost]]:day_cash[[#This Row],[Material Cost]])</f>
        <v>261249.99999999951</v>
      </c>
      <c r="L209" s="3">
        <f>SUM(day_cash[[#Headers],[Equipment Cost]]:day_cash[[#This Row],[Equipment Cost]])</f>
        <v>87999.999999999796</v>
      </c>
      <c r="M209" s="3">
        <f>SUM(day_cash[[#Headers],[Sub Cost]]:day_cash[[#This Row],[Sub Cost]])</f>
        <v>579202.46478873142</v>
      </c>
      <c r="N209" s="3">
        <f>SUM(day_cash[[#Headers],[Other Cost]]:day_cash[[#This Row],[Other Cost]])</f>
        <v>58499.999999999847</v>
      </c>
      <c r="O209" s="3">
        <f>SUM(day_cash[[#This Row],[Cumulative Labor]:[Cumulative Other]])</f>
        <v>1581952.4647887305</v>
      </c>
      <c r="P209" s="3">
        <f>SUM(day_cash[[#Headers],[Revenue]]:day_cash[[#This Row],[Revenue]])</f>
        <v>1810476.4301532444</v>
      </c>
    </row>
    <row r="210" spans="2:16" x14ac:dyDescent="0.45">
      <c r="B210" s="1">
        <v>46593</v>
      </c>
      <c r="C210" s="4">
        <f>SUMIFS(schedule[Labor CPP], schedule[Start Date],"&lt;="&amp;day_cash[[#This Row],[Date]], schedule[Finish Date],"&gt;="&amp;day_cash[[#This Row],[Date]])</f>
        <v>0</v>
      </c>
      <c r="D210" s="4">
        <f>SUMIFS(schedule[Material CPP], schedule[Start Date],"&lt;="&amp;day_cash[[#This Row],[Date]]-$D$2, schedule[Finish Date],"&gt;="&amp;day_cash[[#This Row],[Date]]-$D$2)</f>
        <v>0</v>
      </c>
      <c r="E210" s="4">
        <f>SUMIFS(schedule[Equipment CPP], schedule[Start Date],"&lt;="&amp;day_cash[[#This Row],[Date]]-$E$2, schedule[Finish Date],"&gt;="&amp;day_cash[[#This Row],[Date]]-$E$2)</f>
        <v>0</v>
      </c>
      <c r="F210" s="4">
        <f>SUMIFS(schedule[Sub CPP], schedule[Start Date],"&lt;="&amp;day_cash[[#This Row],[Date]]-$F$2, schedule[Finish Date],"&gt;="&amp;day_cash[[#This Row],[Date]]-$F$2)</f>
        <v>13749.119718309857</v>
      </c>
      <c r="G210" s="3">
        <f>SUMIFS(schedule[Other CPP], schedule[Start Date],"&lt;="&amp;day_cash[[#This Row],[Date]]-$G$2, schedule[Finish Date],"&gt;="&amp;day_cash[[#This Row],[Date]]-$G$2)</f>
        <v>0</v>
      </c>
      <c r="H210" s="3">
        <f>SUM(day_cash[[#This Row],[Labor Cost]:[Other Cost]])</f>
        <v>13749.119718309857</v>
      </c>
      <c r="I210" s="3">
        <f>SUMIFS(schedule[Revenue per Day], schedule[Start Date],"&lt;="&amp;day_cash[[#This Row],[Date]]-$I$2, schedule[Finish Date],"&gt;="&amp;day_cash[[#This Row],[Date]]-$I$2)</f>
        <v>23481.705089024716</v>
      </c>
      <c r="J210" s="3">
        <f>SUM(day_cash[[#Headers],[Labor Cost]]:day_cash[[#This Row],[Labor Cost]])</f>
        <v>594999.99999999988</v>
      </c>
      <c r="K210" s="3">
        <f>SUM(day_cash[[#Headers],[Material Cost]]:day_cash[[#This Row],[Material Cost]])</f>
        <v>261249.99999999951</v>
      </c>
      <c r="L210" s="3">
        <f>SUM(day_cash[[#Headers],[Equipment Cost]]:day_cash[[#This Row],[Equipment Cost]])</f>
        <v>87999.999999999796</v>
      </c>
      <c r="M210" s="3">
        <f>SUM(day_cash[[#Headers],[Sub Cost]]:day_cash[[#This Row],[Sub Cost]])</f>
        <v>592951.58450704126</v>
      </c>
      <c r="N210" s="3">
        <f>SUM(day_cash[[#Headers],[Other Cost]]:day_cash[[#This Row],[Other Cost]])</f>
        <v>58499.999999999847</v>
      </c>
      <c r="O210" s="3">
        <f>SUM(day_cash[[#This Row],[Cumulative Labor]:[Cumulative Other]])</f>
        <v>1595701.5845070402</v>
      </c>
      <c r="P210" s="3">
        <f>SUM(day_cash[[#Headers],[Revenue]]:day_cash[[#This Row],[Revenue]])</f>
        <v>1833958.1352422691</v>
      </c>
    </row>
    <row r="211" spans="2:16" x14ac:dyDescent="0.45">
      <c r="B211" s="1">
        <v>46594</v>
      </c>
      <c r="C211" s="4">
        <f>SUMIFS(schedule[Labor CPP], schedule[Start Date],"&lt;="&amp;day_cash[[#This Row],[Date]], schedule[Finish Date],"&gt;="&amp;day_cash[[#This Row],[Date]])</f>
        <v>0</v>
      </c>
      <c r="D211" s="4">
        <f>SUMIFS(schedule[Material CPP], schedule[Start Date],"&lt;="&amp;day_cash[[#This Row],[Date]]-$D$2, schedule[Finish Date],"&gt;="&amp;day_cash[[#This Row],[Date]]-$D$2)</f>
        <v>0</v>
      </c>
      <c r="E211" s="4">
        <f>SUMIFS(schedule[Equipment CPP], schedule[Start Date],"&lt;="&amp;day_cash[[#This Row],[Date]]-$E$2, schedule[Finish Date],"&gt;="&amp;day_cash[[#This Row],[Date]]-$E$2)</f>
        <v>0</v>
      </c>
      <c r="F211" s="4">
        <f>SUMIFS(schedule[Sub CPP], schedule[Start Date],"&lt;="&amp;day_cash[[#This Row],[Date]]-$F$2, schedule[Finish Date],"&gt;="&amp;day_cash[[#This Row],[Date]]-$F$2)</f>
        <v>13749.119718309857</v>
      </c>
      <c r="G211" s="3">
        <f>SUMIFS(schedule[Other CPP], schedule[Start Date],"&lt;="&amp;day_cash[[#This Row],[Date]]-$G$2, schedule[Finish Date],"&gt;="&amp;day_cash[[#This Row],[Date]]-$G$2)</f>
        <v>0</v>
      </c>
      <c r="H211" s="3">
        <f>SUM(day_cash[[#This Row],[Labor Cost]:[Other Cost]])</f>
        <v>13749.119718309857</v>
      </c>
      <c r="I211" s="3">
        <f>SUMIFS(schedule[Revenue per Day], schedule[Start Date],"&lt;="&amp;day_cash[[#This Row],[Date]]-$I$2, schedule[Finish Date],"&gt;="&amp;day_cash[[#This Row],[Date]]-$I$2)</f>
        <v>23481.705089024716</v>
      </c>
      <c r="J211" s="3">
        <f>SUM(day_cash[[#Headers],[Labor Cost]]:day_cash[[#This Row],[Labor Cost]])</f>
        <v>594999.99999999988</v>
      </c>
      <c r="K211" s="3">
        <f>SUM(day_cash[[#Headers],[Material Cost]]:day_cash[[#This Row],[Material Cost]])</f>
        <v>261249.99999999951</v>
      </c>
      <c r="L211" s="3">
        <f>SUM(day_cash[[#Headers],[Equipment Cost]]:day_cash[[#This Row],[Equipment Cost]])</f>
        <v>87999.999999999796</v>
      </c>
      <c r="M211" s="3">
        <f>SUM(day_cash[[#Headers],[Sub Cost]]:day_cash[[#This Row],[Sub Cost]])</f>
        <v>606700.7042253511</v>
      </c>
      <c r="N211" s="3">
        <f>SUM(day_cash[[#Headers],[Other Cost]]:day_cash[[#This Row],[Other Cost]])</f>
        <v>58499.999999999847</v>
      </c>
      <c r="O211" s="3">
        <f>SUM(day_cash[[#This Row],[Cumulative Labor]:[Cumulative Other]])</f>
        <v>1609450.7042253499</v>
      </c>
      <c r="P211" s="3">
        <f>SUM(day_cash[[#Headers],[Revenue]]:day_cash[[#This Row],[Revenue]])</f>
        <v>1857439.8403312939</v>
      </c>
    </row>
    <row r="212" spans="2:16" x14ac:dyDescent="0.45">
      <c r="B212" s="1">
        <v>46595</v>
      </c>
      <c r="C212" s="4">
        <f>SUMIFS(schedule[Labor CPP], schedule[Start Date],"&lt;="&amp;day_cash[[#This Row],[Date]], schedule[Finish Date],"&gt;="&amp;day_cash[[#This Row],[Date]])</f>
        <v>0</v>
      </c>
      <c r="D212" s="4">
        <f>SUMIFS(schedule[Material CPP], schedule[Start Date],"&lt;="&amp;day_cash[[#This Row],[Date]]-$D$2, schedule[Finish Date],"&gt;="&amp;day_cash[[#This Row],[Date]]-$D$2)</f>
        <v>0</v>
      </c>
      <c r="E212" s="4">
        <f>SUMIFS(schedule[Equipment CPP], schedule[Start Date],"&lt;="&amp;day_cash[[#This Row],[Date]]-$E$2, schedule[Finish Date],"&gt;="&amp;day_cash[[#This Row],[Date]]-$E$2)</f>
        <v>0</v>
      </c>
      <c r="F212" s="4">
        <f>SUMIFS(schedule[Sub CPP], schedule[Start Date],"&lt;="&amp;day_cash[[#This Row],[Date]]-$F$2, schedule[Finish Date],"&gt;="&amp;day_cash[[#This Row],[Date]]-$F$2)</f>
        <v>13749.119718309857</v>
      </c>
      <c r="G212" s="3">
        <f>SUMIFS(schedule[Other CPP], schedule[Start Date],"&lt;="&amp;day_cash[[#This Row],[Date]]-$G$2, schedule[Finish Date],"&gt;="&amp;day_cash[[#This Row],[Date]]-$G$2)</f>
        <v>0</v>
      </c>
      <c r="H212" s="3">
        <f>SUM(day_cash[[#This Row],[Labor Cost]:[Other Cost]])</f>
        <v>13749.119718309857</v>
      </c>
      <c r="I212" s="3">
        <f>SUMIFS(schedule[Revenue per Day], schedule[Start Date],"&lt;="&amp;day_cash[[#This Row],[Date]]-$I$2, schedule[Finish Date],"&gt;="&amp;day_cash[[#This Row],[Date]]-$I$2)</f>
        <v>23481.705089024716</v>
      </c>
      <c r="J212" s="3">
        <f>SUM(day_cash[[#Headers],[Labor Cost]]:day_cash[[#This Row],[Labor Cost]])</f>
        <v>594999.99999999988</v>
      </c>
      <c r="K212" s="3">
        <f>SUM(day_cash[[#Headers],[Material Cost]]:day_cash[[#This Row],[Material Cost]])</f>
        <v>261249.99999999951</v>
      </c>
      <c r="L212" s="3">
        <f>SUM(day_cash[[#Headers],[Equipment Cost]]:day_cash[[#This Row],[Equipment Cost]])</f>
        <v>87999.999999999796</v>
      </c>
      <c r="M212" s="3">
        <f>SUM(day_cash[[#Headers],[Sub Cost]]:day_cash[[#This Row],[Sub Cost]])</f>
        <v>620449.82394366094</v>
      </c>
      <c r="N212" s="3">
        <f>SUM(day_cash[[#Headers],[Other Cost]]:day_cash[[#This Row],[Other Cost]])</f>
        <v>58499.999999999847</v>
      </c>
      <c r="O212" s="3">
        <f>SUM(day_cash[[#This Row],[Cumulative Labor]:[Cumulative Other]])</f>
        <v>1623199.8239436599</v>
      </c>
      <c r="P212" s="3">
        <f>SUM(day_cash[[#Headers],[Revenue]]:day_cash[[#This Row],[Revenue]])</f>
        <v>1880921.5454203186</v>
      </c>
    </row>
    <row r="213" spans="2:16" x14ac:dyDescent="0.45">
      <c r="B213" s="1">
        <v>46596</v>
      </c>
      <c r="C213" s="4">
        <f>SUMIFS(schedule[Labor CPP], schedule[Start Date],"&lt;="&amp;day_cash[[#This Row],[Date]], schedule[Finish Date],"&gt;="&amp;day_cash[[#This Row],[Date]])</f>
        <v>0</v>
      </c>
      <c r="D213" s="4">
        <f>SUMIFS(schedule[Material CPP], schedule[Start Date],"&lt;="&amp;day_cash[[#This Row],[Date]]-$D$2, schedule[Finish Date],"&gt;="&amp;day_cash[[#This Row],[Date]]-$D$2)</f>
        <v>0</v>
      </c>
      <c r="E213" s="4">
        <f>SUMIFS(schedule[Equipment CPP], schedule[Start Date],"&lt;="&amp;day_cash[[#This Row],[Date]]-$E$2, schedule[Finish Date],"&gt;="&amp;day_cash[[#This Row],[Date]]-$E$2)</f>
        <v>0</v>
      </c>
      <c r="F213" s="4">
        <f>SUMIFS(schedule[Sub CPP], schedule[Start Date],"&lt;="&amp;day_cash[[#This Row],[Date]]-$F$2, schedule[Finish Date],"&gt;="&amp;day_cash[[#This Row],[Date]]-$F$2)</f>
        <v>13749.119718309857</v>
      </c>
      <c r="G213" s="3">
        <f>SUMIFS(schedule[Other CPP], schedule[Start Date],"&lt;="&amp;day_cash[[#This Row],[Date]]-$G$2, schedule[Finish Date],"&gt;="&amp;day_cash[[#This Row],[Date]]-$G$2)</f>
        <v>0</v>
      </c>
      <c r="H213" s="3">
        <f>SUM(day_cash[[#This Row],[Labor Cost]:[Other Cost]])</f>
        <v>13749.119718309857</v>
      </c>
      <c r="I213" s="3">
        <f>SUMIFS(schedule[Revenue per Day], schedule[Start Date],"&lt;="&amp;day_cash[[#This Row],[Date]]-$I$2, schedule[Finish Date],"&gt;="&amp;day_cash[[#This Row],[Date]]-$I$2)</f>
        <v>23481.705089024716</v>
      </c>
      <c r="J213" s="3">
        <f>SUM(day_cash[[#Headers],[Labor Cost]]:day_cash[[#This Row],[Labor Cost]])</f>
        <v>594999.99999999988</v>
      </c>
      <c r="K213" s="3">
        <f>SUM(day_cash[[#Headers],[Material Cost]]:day_cash[[#This Row],[Material Cost]])</f>
        <v>261249.99999999951</v>
      </c>
      <c r="L213" s="3">
        <f>SUM(day_cash[[#Headers],[Equipment Cost]]:day_cash[[#This Row],[Equipment Cost]])</f>
        <v>87999.999999999796</v>
      </c>
      <c r="M213" s="3">
        <f>SUM(day_cash[[#Headers],[Sub Cost]]:day_cash[[#This Row],[Sub Cost]])</f>
        <v>634198.94366197078</v>
      </c>
      <c r="N213" s="3">
        <f>SUM(day_cash[[#Headers],[Other Cost]]:day_cash[[#This Row],[Other Cost]])</f>
        <v>58499.999999999847</v>
      </c>
      <c r="O213" s="3">
        <f>SUM(day_cash[[#This Row],[Cumulative Labor]:[Cumulative Other]])</f>
        <v>1636948.9436619699</v>
      </c>
      <c r="P213" s="3">
        <f>SUM(day_cash[[#Headers],[Revenue]]:day_cash[[#This Row],[Revenue]])</f>
        <v>1904403.2505093433</v>
      </c>
    </row>
    <row r="214" spans="2:16" x14ac:dyDescent="0.45">
      <c r="B214" s="1">
        <v>46597</v>
      </c>
      <c r="C214" s="4">
        <f>SUMIFS(schedule[Labor CPP], schedule[Start Date],"&lt;="&amp;day_cash[[#This Row],[Date]], schedule[Finish Date],"&gt;="&amp;day_cash[[#This Row],[Date]])</f>
        <v>0</v>
      </c>
      <c r="D214" s="4">
        <f>SUMIFS(schedule[Material CPP], schedule[Start Date],"&lt;="&amp;day_cash[[#This Row],[Date]]-$D$2, schedule[Finish Date],"&gt;="&amp;day_cash[[#This Row],[Date]]-$D$2)</f>
        <v>0</v>
      </c>
      <c r="E214" s="4">
        <f>SUMIFS(schedule[Equipment CPP], schedule[Start Date],"&lt;="&amp;day_cash[[#This Row],[Date]]-$E$2, schedule[Finish Date],"&gt;="&amp;day_cash[[#This Row],[Date]]-$E$2)</f>
        <v>0</v>
      </c>
      <c r="F214" s="4">
        <f>SUMIFS(schedule[Sub CPP], schedule[Start Date],"&lt;="&amp;day_cash[[#This Row],[Date]]-$F$2, schedule[Finish Date],"&gt;="&amp;day_cash[[#This Row],[Date]]-$F$2)</f>
        <v>13749.119718309857</v>
      </c>
      <c r="G214" s="3">
        <f>SUMIFS(schedule[Other CPP], schedule[Start Date],"&lt;="&amp;day_cash[[#This Row],[Date]]-$G$2, schedule[Finish Date],"&gt;="&amp;day_cash[[#This Row],[Date]]-$G$2)</f>
        <v>0</v>
      </c>
      <c r="H214" s="3">
        <f>SUM(day_cash[[#This Row],[Labor Cost]:[Other Cost]])</f>
        <v>13749.119718309857</v>
      </c>
      <c r="I214" s="3">
        <f>SUMIFS(schedule[Revenue per Day], schedule[Start Date],"&lt;="&amp;day_cash[[#This Row],[Date]]-$I$2, schedule[Finish Date],"&gt;="&amp;day_cash[[#This Row],[Date]]-$I$2)</f>
        <v>23481.705089024716</v>
      </c>
      <c r="J214" s="3">
        <f>SUM(day_cash[[#Headers],[Labor Cost]]:day_cash[[#This Row],[Labor Cost]])</f>
        <v>594999.99999999988</v>
      </c>
      <c r="K214" s="3">
        <f>SUM(day_cash[[#Headers],[Material Cost]]:day_cash[[#This Row],[Material Cost]])</f>
        <v>261249.99999999951</v>
      </c>
      <c r="L214" s="3">
        <f>SUM(day_cash[[#Headers],[Equipment Cost]]:day_cash[[#This Row],[Equipment Cost]])</f>
        <v>87999.999999999796</v>
      </c>
      <c r="M214" s="3">
        <f>SUM(day_cash[[#Headers],[Sub Cost]]:day_cash[[#This Row],[Sub Cost]])</f>
        <v>647948.06338028063</v>
      </c>
      <c r="N214" s="3">
        <f>SUM(day_cash[[#Headers],[Other Cost]]:day_cash[[#This Row],[Other Cost]])</f>
        <v>58499.999999999847</v>
      </c>
      <c r="O214" s="3">
        <f>SUM(day_cash[[#This Row],[Cumulative Labor]:[Cumulative Other]])</f>
        <v>1650698.0633802796</v>
      </c>
      <c r="P214" s="3">
        <f>SUM(day_cash[[#Headers],[Revenue]]:day_cash[[#This Row],[Revenue]])</f>
        <v>1927884.9555983681</v>
      </c>
    </row>
    <row r="215" spans="2:16" x14ac:dyDescent="0.45">
      <c r="B215" s="1">
        <v>46598</v>
      </c>
      <c r="C215" s="4">
        <f>SUMIFS(schedule[Labor CPP], schedule[Start Date],"&lt;="&amp;day_cash[[#This Row],[Date]], schedule[Finish Date],"&gt;="&amp;day_cash[[#This Row],[Date]])</f>
        <v>0</v>
      </c>
      <c r="D215" s="4">
        <f>SUMIFS(schedule[Material CPP], schedule[Start Date],"&lt;="&amp;day_cash[[#This Row],[Date]]-$D$2, schedule[Finish Date],"&gt;="&amp;day_cash[[#This Row],[Date]]-$D$2)</f>
        <v>0</v>
      </c>
      <c r="E215" s="4">
        <f>SUMIFS(schedule[Equipment CPP], schedule[Start Date],"&lt;="&amp;day_cash[[#This Row],[Date]]-$E$2, schedule[Finish Date],"&gt;="&amp;day_cash[[#This Row],[Date]]-$E$2)</f>
        <v>0</v>
      </c>
      <c r="F215" s="4">
        <f>SUMIFS(schedule[Sub CPP], schedule[Start Date],"&lt;="&amp;day_cash[[#This Row],[Date]]-$F$2, schedule[Finish Date],"&gt;="&amp;day_cash[[#This Row],[Date]]-$F$2)</f>
        <v>13749.119718309857</v>
      </c>
      <c r="G215" s="3">
        <f>SUMIFS(schedule[Other CPP], schedule[Start Date],"&lt;="&amp;day_cash[[#This Row],[Date]]-$G$2, schedule[Finish Date],"&gt;="&amp;day_cash[[#This Row],[Date]]-$G$2)</f>
        <v>0</v>
      </c>
      <c r="H215" s="3">
        <f>SUM(day_cash[[#This Row],[Labor Cost]:[Other Cost]])</f>
        <v>13749.119718309857</v>
      </c>
      <c r="I215" s="3">
        <f>SUMIFS(schedule[Revenue per Day], schedule[Start Date],"&lt;="&amp;day_cash[[#This Row],[Date]]-$I$2, schedule[Finish Date],"&gt;="&amp;day_cash[[#This Row],[Date]]-$I$2)</f>
        <v>23481.705089024716</v>
      </c>
      <c r="J215" s="3">
        <f>SUM(day_cash[[#Headers],[Labor Cost]]:day_cash[[#This Row],[Labor Cost]])</f>
        <v>594999.99999999988</v>
      </c>
      <c r="K215" s="3">
        <f>SUM(day_cash[[#Headers],[Material Cost]]:day_cash[[#This Row],[Material Cost]])</f>
        <v>261249.99999999951</v>
      </c>
      <c r="L215" s="3">
        <f>SUM(day_cash[[#Headers],[Equipment Cost]]:day_cash[[#This Row],[Equipment Cost]])</f>
        <v>87999.999999999796</v>
      </c>
      <c r="M215" s="3">
        <f>SUM(day_cash[[#Headers],[Sub Cost]]:day_cash[[#This Row],[Sub Cost]])</f>
        <v>661697.18309859047</v>
      </c>
      <c r="N215" s="3">
        <f>SUM(day_cash[[#Headers],[Other Cost]]:day_cash[[#This Row],[Other Cost]])</f>
        <v>58499.999999999847</v>
      </c>
      <c r="O215" s="3">
        <f>SUM(day_cash[[#This Row],[Cumulative Labor]:[Cumulative Other]])</f>
        <v>1664447.1830985893</v>
      </c>
      <c r="P215" s="3">
        <f>SUM(day_cash[[#Headers],[Revenue]]:day_cash[[#This Row],[Revenue]])</f>
        <v>1951366.6606873928</v>
      </c>
    </row>
    <row r="216" spans="2:16" x14ac:dyDescent="0.45">
      <c r="B216" s="1">
        <v>46599</v>
      </c>
      <c r="C216" s="4">
        <f>SUMIFS(schedule[Labor CPP], schedule[Start Date],"&lt;="&amp;day_cash[[#This Row],[Date]], schedule[Finish Date],"&gt;="&amp;day_cash[[#This Row],[Date]])</f>
        <v>0</v>
      </c>
      <c r="D216" s="4">
        <f>SUMIFS(schedule[Material CPP], schedule[Start Date],"&lt;="&amp;day_cash[[#This Row],[Date]]-$D$2, schedule[Finish Date],"&gt;="&amp;day_cash[[#This Row],[Date]]-$D$2)</f>
        <v>0</v>
      </c>
      <c r="E216" s="4">
        <f>SUMIFS(schedule[Equipment CPP], schedule[Start Date],"&lt;="&amp;day_cash[[#This Row],[Date]]-$E$2, schedule[Finish Date],"&gt;="&amp;day_cash[[#This Row],[Date]]-$E$2)</f>
        <v>0</v>
      </c>
      <c r="F216" s="4">
        <f>SUMIFS(schedule[Sub CPP], schedule[Start Date],"&lt;="&amp;day_cash[[#This Row],[Date]]-$F$2, schedule[Finish Date],"&gt;="&amp;day_cash[[#This Row],[Date]]-$F$2)</f>
        <v>13749.119718309857</v>
      </c>
      <c r="G216" s="3">
        <f>SUMIFS(schedule[Other CPP], schedule[Start Date],"&lt;="&amp;day_cash[[#This Row],[Date]]-$G$2, schedule[Finish Date],"&gt;="&amp;day_cash[[#This Row],[Date]]-$G$2)</f>
        <v>0</v>
      </c>
      <c r="H216" s="3">
        <f>SUM(day_cash[[#This Row],[Labor Cost]:[Other Cost]])</f>
        <v>13749.119718309857</v>
      </c>
      <c r="I216" s="3">
        <f>SUMIFS(schedule[Revenue per Day], schedule[Start Date],"&lt;="&amp;day_cash[[#This Row],[Date]]-$I$2, schedule[Finish Date],"&gt;="&amp;day_cash[[#This Row],[Date]]-$I$2)</f>
        <v>23481.705089024716</v>
      </c>
      <c r="J216" s="3">
        <f>SUM(day_cash[[#Headers],[Labor Cost]]:day_cash[[#This Row],[Labor Cost]])</f>
        <v>594999.99999999988</v>
      </c>
      <c r="K216" s="3">
        <f>SUM(day_cash[[#Headers],[Material Cost]]:day_cash[[#This Row],[Material Cost]])</f>
        <v>261249.99999999951</v>
      </c>
      <c r="L216" s="3">
        <f>SUM(day_cash[[#Headers],[Equipment Cost]]:day_cash[[#This Row],[Equipment Cost]])</f>
        <v>87999.999999999796</v>
      </c>
      <c r="M216" s="3">
        <f>SUM(day_cash[[#Headers],[Sub Cost]]:day_cash[[#This Row],[Sub Cost]])</f>
        <v>675446.30281690031</v>
      </c>
      <c r="N216" s="3">
        <f>SUM(day_cash[[#Headers],[Other Cost]]:day_cash[[#This Row],[Other Cost]])</f>
        <v>58499.999999999847</v>
      </c>
      <c r="O216" s="3">
        <f>SUM(day_cash[[#This Row],[Cumulative Labor]:[Cumulative Other]])</f>
        <v>1678196.3028168993</v>
      </c>
      <c r="P216" s="3">
        <f>SUM(day_cash[[#Headers],[Revenue]]:day_cash[[#This Row],[Revenue]])</f>
        <v>1974848.3657764175</v>
      </c>
    </row>
    <row r="217" spans="2:16" x14ac:dyDescent="0.45">
      <c r="B217" s="1">
        <v>46600</v>
      </c>
      <c r="C217" s="4">
        <f>SUMIFS(schedule[Labor CPP], schedule[Start Date],"&lt;="&amp;day_cash[[#This Row],[Date]], schedule[Finish Date],"&gt;="&amp;day_cash[[#This Row],[Date]])</f>
        <v>0</v>
      </c>
      <c r="D217" s="4">
        <f>SUMIFS(schedule[Material CPP], schedule[Start Date],"&lt;="&amp;day_cash[[#This Row],[Date]]-$D$2, schedule[Finish Date],"&gt;="&amp;day_cash[[#This Row],[Date]]-$D$2)</f>
        <v>0</v>
      </c>
      <c r="E217" s="4">
        <f>SUMIFS(schedule[Equipment CPP], schedule[Start Date],"&lt;="&amp;day_cash[[#This Row],[Date]]-$E$2, schedule[Finish Date],"&gt;="&amp;day_cash[[#This Row],[Date]]-$E$2)</f>
        <v>0</v>
      </c>
      <c r="F217" s="4">
        <f>SUMIFS(schedule[Sub CPP], schedule[Start Date],"&lt;="&amp;day_cash[[#This Row],[Date]]-$F$2, schedule[Finish Date],"&gt;="&amp;day_cash[[#This Row],[Date]]-$F$2)</f>
        <v>13749.119718309857</v>
      </c>
      <c r="G217" s="3">
        <f>SUMIFS(schedule[Other CPP], schedule[Start Date],"&lt;="&amp;day_cash[[#This Row],[Date]]-$G$2, schedule[Finish Date],"&gt;="&amp;day_cash[[#This Row],[Date]]-$G$2)</f>
        <v>0</v>
      </c>
      <c r="H217" s="3">
        <f>SUM(day_cash[[#This Row],[Labor Cost]:[Other Cost]])</f>
        <v>13749.119718309857</v>
      </c>
      <c r="I217" s="3">
        <f>SUMIFS(schedule[Revenue per Day], schedule[Start Date],"&lt;="&amp;day_cash[[#This Row],[Date]]-$I$2, schedule[Finish Date],"&gt;="&amp;day_cash[[#This Row],[Date]]-$I$2)</f>
        <v>23481.705089024716</v>
      </c>
      <c r="J217" s="3">
        <f>SUM(day_cash[[#Headers],[Labor Cost]]:day_cash[[#This Row],[Labor Cost]])</f>
        <v>594999.99999999988</v>
      </c>
      <c r="K217" s="3">
        <f>SUM(day_cash[[#Headers],[Material Cost]]:day_cash[[#This Row],[Material Cost]])</f>
        <v>261249.99999999951</v>
      </c>
      <c r="L217" s="3">
        <f>SUM(day_cash[[#Headers],[Equipment Cost]]:day_cash[[#This Row],[Equipment Cost]])</f>
        <v>87999.999999999796</v>
      </c>
      <c r="M217" s="3">
        <f>SUM(day_cash[[#Headers],[Sub Cost]]:day_cash[[#This Row],[Sub Cost]])</f>
        <v>689195.42253521015</v>
      </c>
      <c r="N217" s="3">
        <f>SUM(day_cash[[#Headers],[Other Cost]]:day_cash[[#This Row],[Other Cost]])</f>
        <v>58499.999999999847</v>
      </c>
      <c r="O217" s="3">
        <f>SUM(day_cash[[#This Row],[Cumulative Labor]:[Cumulative Other]])</f>
        <v>1691945.4225352092</v>
      </c>
      <c r="P217" s="3">
        <f>SUM(day_cash[[#Headers],[Revenue]]:day_cash[[#This Row],[Revenue]])</f>
        <v>1998330.0708654423</v>
      </c>
    </row>
    <row r="218" spans="2:16" x14ac:dyDescent="0.45">
      <c r="B218" s="1">
        <v>46601</v>
      </c>
      <c r="C218" s="4">
        <f>SUMIFS(schedule[Labor CPP], schedule[Start Date],"&lt;="&amp;day_cash[[#This Row],[Date]], schedule[Finish Date],"&gt;="&amp;day_cash[[#This Row],[Date]])</f>
        <v>0</v>
      </c>
      <c r="D218" s="4">
        <f>SUMIFS(schedule[Material CPP], schedule[Start Date],"&lt;="&amp;day_cash[[#This Row],[Date]]-$D$2, schedule[Finish Date],"&gt;="&amp;day_cash[[#This Row],[Date]]-$D$2)</f>
        <v>0</v>
      </c>
      <c r="E218" s="4">
        <f>SUMIFS(schedule[Equipment CPP], schedule[Start Date],"&lt;="&amp;day_cash[[#This Row],[Date]]-$E$2, schedule[Finish Date],"&gt;="&amp;day_cash[[#This Row],[Date]]-$E$2)</f>
        <v>0</v>
      </c>
      <c r="F218" s="4">
        <f>SUMIFS(schedule[Sub CPP], schedule[Start Date],"&lt;="&amp;day_cash[[#This Row],[Date]]-$F$2, schedule[Finish Date],"&gt;="&amp;day_cash[[#This Row],[Date]]-$F$2)</f>
        <v>13749.119718309857</v>
      </c>
      <c r="G218" s="3">
        <f>SUMIFS(schedule[Other CPP], schedule[Start Date],"&lt;="&amp;day_cash[[#This Row],[Date]]-$G$2, schedule[Finish Date],"&gt;="&amp;day_cash[[#This Row],[Date]]-$G$2)</f>
        <v>0</v>
      </c>
      <c r="H218" s="3">
        <f>SUM(day_cash[[#This Row],[Labor Cost]:[Other Cost]])</f>
        <v>13749.119718309857</v>
      </c>
      <c r="I218" s="3">
        <f>SUMIFS(schedule[Revenue per Day], schedule[Start Date],"&lt;="&amp;day_cash[[#This Row],[Date]]-$I$2, schedule[Finish Date],"&gt;="&amp;day_cash[[#This Row],[Date]]-$I$2)</f>
        <v>23481.705089024716</v>
      </c>
      <c r="J218" s="3">
        <f>SUM(day_cash[[#Headers],[Labor Cost]]:day_cash[[#This Row],[Labor Cost]])</f>
        <v>594999.99999999988</v>
      </c>
      <c r="K218" s="3">
        <f>SUM(day_cash[[#Headers],[Material Cost]]:day_cash[[#This Row],[Material Cost]])</f>
        <v>261249.99999999951</v>
      </c>
      <c r="L218" s="3">
        <f>SUM(day_cash[[#Headers],[Equipment Cost]]:day_cash[[#This Row],[Equipment Cost]])</f>
        <v>87999.999999999796</v>
      </c>
      <c r="M218" s="3">
        <f>SUM(day_cash[[#Headers],[Sub Cost]]:day_cash[[#This Row],[Sub Cost]])</f>
        <v>702944.54225351999</v>
      </c>
      <c r="N218" s="3">
        <f>SUM(day_cash[[#Headers],[Other Cost]]:day_cash[[#This Row],[Other Cost]])</f>
        <v>58499.999999999847</v>
      </c>
      <c r="O218" s="3">
        <f>SUM(day_cash[[#This Row],[Cumulative Labor]:[Cumulative Other]])</f>
        <v>1705694.5422535189</v>
      </c>
      <c r="P218" s="3">
        <f>SUM(day_cash[[#Headers],[Revenue]]:day_cash[[#This Row],[Revenue]])</f>
        <v>2021811.775954467</v>
      </c>
    </row>
    <row r="219" spans="2:16" x14ac:dyDescent="0.45">
      <c r="B219" s="1">
        <v>46602</v>
      </c>
      <c r="C219" s="4">
        <f>SUMIFS(schedule[Labor CPP], schedule[Start Date],"&lt;="&amp;day_cash[[#This Row],[Date]], schedule[Finish Date],"&gt;="&amp;day_cash[[#This Row],[Date]])</f>
        <v>0</v>
      </c>
      <c r="D219" s="4">
        <f>SUMIFS(schedule[Material CPP], schedule[Start Date],"&lt;="&amp;day_cash[[#This Row],[Date]]-$D$2, schedule[Finish Date],"&gt;="&amp;day_cash[[#This Row],[Date]]-$D$2)</f>
        <v>0</v>
      </c>
      <c r="E219" s="4">
        <f>SUMIFS(schedule[Equipment CPP], schedule[Start Date],"&lt;="&amp;day_cash[[#This Row],[Date]]-$E$2, schedule[Finish Date],"&gt;="&amp;day_cash[[#This Row],[Date]]-$E$2)</f>
        <v>0</v>
      </c>
      <c r="F219" s="4">
        <f>SUMIFS(schedule[Sub CPP], schedule[Start Date],"&lt;="&amp;day_cash[[#This Row],[Date]]-$F$2, schedule[Finish Date],"&gt;="&amp;day_cash[[#This Row],[Date]]-$F$2)</f>
        <v>13749.119718309857</v>
      </c>
      <c r="G219" s="3">
        <f>SUMIFS(schedule[Other CPP], schedule[Start Date],"&lt;="&amp;day_cash[[#This Row],[Date]]-$G$2, schedule[Finish Date],"&gt;="&amp;day_cash[[#This Row],[Date]]-$G$2)</f>
        <v>0</v>
      </c>
      <c r="H219" s="3">
        <f>SUM(day_cash[[#This Row],[Labor Cost]:[Other Cost]])</f>
        <v>13749.119718309857</v>
      </c>
      <c r="I219" s="3">
        <f>SUMIFS(schedule[Revenue per Day], schedule[Start Date],"&lt;="&amp;day_cash[[#This Row],[Date]]-$I$2, schedule[Finish Date],"&gt;="&amp;day_cash[[#This Row],[Date]]-$I$2)</f>
        <v>23481.705089024716</v>
      </c>
      <c r="J219" s="3">
        <f>SUM(day_cash[[#Headers],[Labor Cost]]:day_cash[[#This Row],[Labor Cost]])</f>
        <v>594999.99999999988</v>
      </c>
      <c r="K219" s="3">
        <f>SUM(day_cash[[#Headers],[Material Cost]]:day_cash[[#This Row],[Material Cost]])</f>
        <v>261249.99999999951</v>
      </c>
      <c r="L219" s="3">
        <f>SUM(day_cash[[#Headers],[Equipment Cost]]:day_cash[[#This Row],[Equipment Cost]])</f>
        <v>87999.999999999796</v>
      </c>
      <c r="M219" s="3">
        <f>SUM(day_cash[[#Headers],[Sub Cost]]:day_cash[[#This Row],[Sub Cost]])</f>
        <v>716693.66197182983</v>
      </c>
      <c r="N219" s="3">
        <f>SUM(day_cash[[#Headers],[Other Cost]]:day_cash[[#This Row],[Other Cost]])</f>
        <v>58499.999999999847</v>
      </c>
      <c r="O219" s="3">
        <f>SUM(day_cash[[#This Row],[Cumulative Labor]:[Cumulative Other]])</f>
        <v>1719443.6619718287</v>
      </c>
      <c r="P219" s="3">
        <f>SUM(day_cash[[#Headers],[Revenue]]:day_cash[[#This Row],[Revenue]])</f>
        <v>2045293.4810434917</v>
      </c>
    </row>
    <row r="220" spans="2:16" x14ac:dyDescent="0.45">
      <c r="B220" s="1">
        <v>46603</v>
      </c>
      <c r="C220" s="4">
        <f>SUMIFS(schedule[Labor CPP], schedule[Start Date],"&lt;="&amp;day_cash[[#This Row],[Date]], schedule[Finish Date],"&gt;="&amp;day_cash[[#This Row],[Date]])</f>
        <v>0</v>
      </c>
      <c r="D220" s="4">
        <f>SUMIFS(schedule[Material CPP], schedule[Start Date],"&lt;="&amp;day_cash[[#This Row],[Date]]-$D$2, schedule[Finish Date],"&gt;="&amp;day_cash[[#This Row],[Date]]-$D$2)</f>
        <v>0</v>
      </c>
      <c r="E220" s="4">
        <f>SUMIFS(schedule[Equipment CPP], schedule[Start Date],"&lt;="&amp;day_cash[[#This Row],[Date]]-$E$2, schedule[Finish Date],"&gt;="&amp;day_cash[[#This Row],[Date]]-$E$2)</f>
        <v>0</v>
      </c>
      <c r="F220" s="4">
        <f>SUMIFS(schedule[Sub CPP], schedule[Start Date],"&lt;="&amp;day_cash[[#This Row],[Date]]-$F$2, schedule[Finish Date],"&gt;="&amp;day_cash[[#This Row],[Date]]-$F$2)</f>
        <v>1936.6197183098591</v>
      </c>
      <c r="G220" s="3">
        <f>SUMIFS(schedule[Other CPP], schedule[Start Date],"&lt;="&amp;day_cash[[#This Row],[Date]]-$G$2, schedule[Finish Date],"&gt;="&amp;day_cash[[#This Row],[Date]]-$G$2)</f>
        <v>0</v>
      </c>
      <c r="H220" s="3">
        <f>SUM(day_cash[[#This Row],[Labor Cost]:[Other Cost]])</f>
        <v>1936.6197183098591</v>
      </c>
      <c r="I220" s="3">
        <f>SUMIFS(schedule[Revenue per Day], schedule[Start Date],"&lt;="&amp;day_cash[[#This Row],[Date]]-$I$2, schedule[Finish Date],"&gt;="&amp;day_cash[[#This Row],[Date]]-$I$2)</f>
        <v>8346.2884223580477</v>
      </c>
      <c r="J220" s="3">
        <f>SUM(day_cash[[#Headers],[Labor Cost]]:day_cash[[#This Row],[Labor Cost]])</f>
        <v>594999.99999999988</v>
      </c>
      <c r="K220" s="3">
        <f>SUM(day_cash[[#Headers],[Material Cost]]:day_cash[[#This Row],[Material Cost]])</f>
        <v>261249.99999999951</v>
      </c>
      <c r="L220" s="3">
        <f>SUM(day_cash[[#Headers],[Equipment Cost]]:day_cash[[#This Row],[Equipment Cost]])</f>
        <v>87999.999999999796</v>
      </c>
      <c r="M220" s="3">
        <f>SUM(day_cash[[#Headers],[Sub Cost]]:day_cash[[#This Row],[Sub Cost]])</f>
        <v>718630.28169013967</v>
      </c>
      <c r="N220" s="3">
        <f>SUM(day_cash[[#Headers],[Other Cost]]:day_cash[[#This Row],[Other Cost]])</f>
        <v>58499.999999999847</v>
      </c>
      <c r="O220" s="3">
        <f>SUM(day_cash[[#This Row],[Cumulative Labor]:[Cumulative Other]])</f>
        <v>1721380.2816901386</v>
      </c>
      <c r="P220" s="3">
        <f>SUM(day_cash[[#Headers],[Revenue]]:day_cash[[#This Row],[Revenue]])</f>
        <v>2053639.7694658497</v>
      </c>
    </row>
    <row r="221" spans="2:16" x14ac:dyDescent="0.45">
      <c r="B221" s="1">
        <v>46604</v>
      </c>
      <c r="C221" s="4">
        <f>SUMIFS(schedule[Labor CPP], schedule[Start Date],"&lt;="&amp;day_cash[[#This Row],[Date]], schedule[Finish Date],"&gt;="&amp;day_cash[[#This Row],[Date]])</f>
        <v>0</v>
      </c>
      <c r="D221" s="4">
        <f>SUMIFS(schedule[Material CPP], schedule[Start Date],"&lt;="&amp;day_cash[[#This Row],[Date]]-$D$2, schedule[Finish Date],"&gt;="&amp;day_cash[[#This Row],[Date]]-$D$2)</f>
        <v>0</v>
      </c>
      <c r="E221" s="4">
        <f>SUMIFS(schedule[Equipment CPP], schedule[Start Date],"&lt;="&amp;day_cash[[#This Row],[Date]]-$E$2, schedule[Finish Date],"&gt;="&amp;day_cash[[#This Row],[Date]]-$E$2)</f>
        <v>0</v>
      </c>
      <c r="F221" s="4">
        <f>SUMIFS(schedule[Sub CPP], schedule[Start Date],"&lt;="&amp;day_cash[[#This Row],[Date]]-$F$2, schedule[Finish Date],"&gt;="&amp;day_cash[[#This Row],[Date]]-$F$2)</f>
        <v>1936.6197183098591</v>
      </c>
      <c r="G221" s="3">
        <f>SUMIFS(schedule[Other CPP], schedule[Start Date],"&lt;="&amp;day_cash[[#This Row],[Date]]-$G$2, schedule[Finish Date],"&gt;="&amp;day_cash[[#This Row],[Date]]-$G$2)</f>
        <v>0</v>
      </c>
      <c r="H221" s="3">
        <f>SUM(day_cash[[#This Row],[Labor Cost]:[Other Cost]])</f>
        <v>1936.6197183098591</v>
      </c>
      <c r="I221" s="3">
        <f>SUMIFS(schedule[Revenue per Day], schedule[Start Date],"&lt;="&amp;day_cash[[#This Row],[Date]]-$I$2, schedule[Finish Date],"&gt;="&amp;day_cash[[#This Row],[Date]]-$I$2)</f>
        <v>8346.2884223580477</v>
      </c>
      <c r="J221" s="3">
        <f>SUM(day_cash[[#Headers],[Labor Cost]]:day_cash[[#This Row],[Labor Cost]])</f>
        <v>594999.99999999988</v>
      </c>
      <c r="K221" s="3">
        <f>SUM(day_cash[[#Headers],[Material Cost]]:day_cash[[#This Row],[Material Cost]])</f>
        <v>261249.99999999951</v>
      </c>
      <c r="L221" s="3">
        <f>SUM(day_cash[[#Headers],[Equipment Cost]]:day_cash[[#This Row],[Equipment Cost]])</f>
        <v>87999.999999999796</v>
      </c>
      <c r="M221" s="3">
        <f>SUM(day_cash[[#Headers],[Sub Cost]]:day_cash[[#This Row],[Sub Cost]])</f>
        <v>720566.90140844951</v>
      </c>
      <c r="N221" s="3">
        <f>SUM(day_cash[[#Headers],[Other Cost]]:day_cash[[#This Row],[Other Cost]])</f>
        <v>58499.999999999847</v>
      </c>
      <c r="O221" s="3">
        <f>SUM(day_cash[[#This Row],[Cumulative Labor]:[Cumulative Other]])</f>
        <v>1723316.9014084486</v>
      </c>
      <c r="P221" s="3">
        <f>SUM(day_cash[[#Headers],[Revenue]]:day_cash[[#This Row],[Revenue]])</f>
        <v>2061986.0578882077</v>
      </c>
    </row>
    <row r="222" spans="2:16" x14ac:dyDescent="0.45">
      <c r="B222" s="1">
        <v>46605</v>
      </c>
      <c r="C222" s="4">
        <f>SUMIFS(schedule[Labor CPP], schedule[Start Date],"&lt;="&amp;day_cash[[#This Row],[Date]], schedule[Finish Date],"&gt;="&amp;day_cash[[#This Row],[Date]])</f>
        <v>0</v>
      </c>
      <c r="D222" s="4">
        <f>SUMIFS(schedule[Material CPP], schedule[Start Date],"&lt;="&amp;day_cash[[#This Row],[Date]]-$D$2, schedule[Finish Date],"&gt;="&amp;day_cash[[#This Row],[Date]]-$D$2)</f>
        <v>0</v>
      </c>
      <c r="E222" s="4">
        <f>SUMIFS(schedule[Equipment CPP], schedule[Start Date],"&lt;="&amp;day_cash[[#This Row],[Date]]-$E$2, schedule[Finish Date],"&gt;="&amp;day_cash[[#This Row],[Date]]-$E$2)</f>
        <v>0</v>
      </c>
      <c r="F222" s="4">
        <f>SUMIFS(schedule[Sub CPP], schedule[Start Date],"&lt;="&amp;day_cash[[#This Row],[Date]]-$F$2, schedule[Finish Date],"&gt;="&amp;day_cash[[#This Row],[Date]]-$F$2)</f>
        <v>1936.6197183098591</v>
      </c>
      <c r="G222" s="3">
        <f>SUMIFS(schedule[Other CPP], schedule[Start Date],"&lt;="&amp;day_cash[[#This Row],[Date]]-$G$2, schedule[Finish Date],"&gt;="&amp;day_cash[[#This Row],[Date]]-$G$2)</f>
        <v>0</v>
      </c>
      <c r="H222" s="3">
        <f>SUM(day_cash[[#This Row],[Labor Cost]:[Other Cost]])</f>
        <v>1936.6197183098591</v>
      </c>
      <c r="I222" s="3">
        <f>SUMIFS(schedule[Revenue per Day], schedule[Start Date],"&lt;="&amp;day_cash[[#This Row],[Date]]-$I$2, schedule[Finish Date],"&gt;="&amp;day_cash[[#This Row],[Date]]-$I$2)</f>
        <v>8346.2884223580477</v>
      </c>
      <c r="J222" s="3">
        <f>SUM(day_cash[[#Headers],[Labor Cost]]:day_cash[[#This Row],[Labor Cost]])</f>
        <v>594999.99999999988</v>
      </c>
      <c r="K222" s="3">
        <f>SUM(day_cash[[#Headers],[Material Cost]]:day_cash[[#This Row],[Material Cost]])</f>
        <v>261249.99999999951</v>
      </c>
      <c r="L222" s="3">
        <f>SUM(day_cash[[#Headers],[Equipment Cost]]:day_cash[[#This Row],[Equipment Cost]])</f>
        <v>87999.999999999796</v>
      </c>
      <c r="M222" s="3">
        <f>SUM(day_cash[[#Headers],[Sub Cost]]:day_cash[[#This Row],[Sub Cost]])</f>
        <v>722503.52112675935</v>
      </c>
      <c r="N222" s="3">
        <f>SUM(day_cash[[#Headers],[Other Cost]]:day_cash[[#This Row],[Other Cost]])</f>
        <v>58499.999999999847</v>
      </c>
      <c r="O222" s="3">
        <f>SUM(day_cash[[#This Row],[Cumulative Labor]:[Cumulative Other]])</f>
        <v>1725253.5211267583</v>
      </c>
      <c r="P222" s="3">
        <f>SUM(day_cash[[#Headers],[Revenue]]:day_cash[[#This Row],[Revenue]])</f>
        <v>2070332.3463105657</v>
      </c>
    </row>
    <row r="223" spans="2:16" x14ac:dyDescent="0.45">
      <c r="B223" s="1">
        <v>46606</v>
      </c>
      <c r="C223" s="4">
        <f>SUMIFS(schedule[Labor CPP], schedule[Start Date],"&lt;="&amp;day_cash[[#This Row],[Date]], schedule[Finish Date],"&gt;="&amp;day_cash[[#This Row],[Date]])</f>
        <v>0</v>
      </c>
      <c r="D223" s="4">
        <f>SUMIFS(schedule[Material CPP], schedule[Start Date],"&lt;="&amp;day_cash[[#This Row],[Date]]-$D$2, schedule[Finish Date],"&gt;="&amp;day_cash[[#This Row],[Date]]-$D$2)</f>
        <v>0</v>
      </c>
      <c r="E223" s="4">
        <f>SUMIFS(schedule[Equipment CPP], schedule[Start Date],"&lt;="&amp;day_cash[[#This Row],[Date]]-$E$2, schedule[Finish Date],"&gt;="&amp;day_cash[[#This Row],[Date]]-$E$2)</f>
        <v>0</v>
      </c>
      <c r="F223" s="4">
        <f>SUMIFS(schedule[Sub CPP], schedule[Start Date],"&lt;="&amp;day_cash[[#This Row],[Date]]-$F$2, schedule[Finish Date],"&gt;="&amp;day_cash[[#This Row],[Date]]-$F$2)</f>
        <v>1936.6197183098591</v>
      </c>
      <c r="G223" s="3">
        <f>SUMIFS(schedule[Other CPP], schedule[Start Date],"&lt;="&amp;day_cash[[#This Row],[Date]]-$G$2, schedule[Finish Date],"&gt;="&amp;day_cash[[#This Row],[Date]]-$G$2)</f>
        <v>0</v>
      </c>
      <c r="H223" s="3">
        <f>SUM(day_cash[[#This Row],[Labor Cost]:[Other Cost]])</f>
        <v>1936.6197183098591</v>
      </c>
      <c r="I223" s="3">
        <f>SUMIFS(schedule[Revenue per Day], schedule[Start Date],"&lt;="&amp;day_cash[[#This Row],[Date]]-$I$2, schedule[Finish Date],"&gt;="&amp;day_cash[[#This Row],[Date]]-$I$2)</f>
        <v>8346.2884223580477</v>
      </c>
      <c r="J223" s="3">
        <f>SUM(day_cash[[#Headers],[Labor Cost]]:day_cash[[#This Row],[Labor Cost]])</f>
        <v>594999.99999999988</v>
      </c>
      <c r="K223" s="3">
        <f>SUM(day_cash[[#Headers],[Material Cost]]:day_cash[[#This Row],[Material Cost]])</f>
        <v>261249.99999999951</v>
      </c>
      <c r="L223" s="3">
        <f>SUM(day_cash[[#Headers],[Equipment Cost]]:day_cash[[#This Row],[Equipment Cost]])</f>
        <v>87999.999999999796</v>
      </c>
      <c r="M223" s="3">
        <f>SUM(day_cash[[#Headers],[Sub Cost]]:day_cash[[#This Row],[Sub Cost]])</f>
        <v>724440.1408450692</v>
      </c>
      <c r="N223" s="3">
        <f>SUM(day_cash[[#Headers],[Other Cost]]:day_cash[[#This Row],[Other Cost]])</f>
        <v>58499.999999999847</v>
      </c>
      <c r="O223" s="3">
        <f>SUM(day_cash[[#This Row],[Cumulative Labor]:[Cumulative Other]])</f>
        <v>1727190.140845068</v>
      </c>
      <c r="P223" s="3">
        <f>SUM(day_cash[[#Headers],[Revenue]]:day_cash[[#This Row],[Revenue]])</f>
        <v>2078678.6347329237</v>
      </c>
    </row>
    <row r="224" spans="2:16" x14ac:dyDescent="0.45">
      <c r="B224" s="1">
        <v>46607</v>
      </c>
      <c r="C224" s="4">
        <f>SUMIFS(schedule[Labor CPP], schedule[Start Date],"&lt;="&amp;day_cash[[#This Row],[Date]], schedule[Finish Date],"&gt;="&amp;day_cash[[#This Row],[Date]])</f>
        <v>0</v>
      </c>
      <c r="D224" s="4">
        <f>SUMIFS(schedule[Material CPP], schedule[Start Date],"&lt;="&amp;day_cash[[#This Row],[Date]]-$D$2, schedule[Finish Date],"&gt;="&amp;day_cash[[#This Row],[Date]]-$D$2)</f>
        <v>0</v>
      </c>
      <c r="E224" s="4">
        <f>SUMIFS(schedule[Equipment CPP], schedule[Start Date],"&lt;="&amp;day_cash[[#This Row],[Date]]-$E$2, schedule[Finish Date],"&gt;="&amp;day_cash[[#This Row],[Date]]-$E$2)</f>
        <v>0</v>
      </c>
      <c r="F224" s="4">
        <f>SUMIFS(schedule[Sub CPP], schedule[Start Date],"&lt;="&amp;day_cash[[#This Row],[Date]]-$F$2, schedule[Finish Date],"&gt;="&amp;day_cash[[#This Row],[Date]]-$F$2)</f>
        <v>1936.6197183098591</v>
      </c>
      <c r="G224" s="3">
        <f>SUMIFS(schedule[Other CPP], schedule[Start Date],"&lt;="&amp;day_cash[[#This Row],[Date]]-$G$2, schedule[Finish Date],"&gt;="&amp;day_cash[[#This Row],[Date]]-$G$2)</f>
        <v>0</v>
      </c>
      <c r="H224" s="3">
        <f>SUM(day_cash[[#This Row],[Labor Cost]:[Other Cost]])</f>
        <v>1936.6197183098591</v>
      </c>
      <c r="I224" s="3">
        <f>SUMIFS(schedule[Revenue per Day], schedule[Start Date],"&lt;="&amp;day_cash[[#This Row],[Date]]-$I$2, schedule[Finish Date],"&gt;="&amp;day_cash[[#This Row],[Date]]-$I$2)</f>
        <v>8346.2884223580477</v>
      </c>
      <c r="J224" s="3">
        <f>SUM(day_cash[[#Headers],[Labor Cost]]:day_cash[[#This Row],[Labor Cost]])</f>
        <v>594999.99999999988</v>
      </c>
      <c r="K224" s="3">
        <f>SUM(day_cash[[#Headers],[Material Cost]]:day_cash[[#This Row],[Material Cost]])</f>
        <v>261249.99999999951</v>
      </c>
      <c r="L224" s="3">
        <f>SUM(day_cash[[#Headers],[Equipment Cost]]:day_cash[[#This Row],[Equipment Cost]])</f>
        <v>87999.999999999796</v>
      </c>
      <c r="M224" s="3">
        <f>SUM(day_cash[[#Headers],[Sub Cost]]:day_cash[[#This Row],[Sub Cost]])</f>
        <v>726376.76056337904</v>
      </c>
      <c r="N224" s="3">
        <f>SUM(day_cash[[#Headers],[Other Cost]]:day_cash[[#This Row],[Other Cost]])</f>
        <v>58499.999999999847</v>
      </c>
      <c r="O224" s="3">
        <f>SUM(day_cash[[#This Row],[Cumulative Labor]:[Cumulative Other]])</f>
        <v>1729126.760563378</v>
      </c>
      <c r="P224" s="3">
        <f>SUM(day_cash[[#Headers],[Revenue]]:day_cash[[#This Row],[Revenue]])</f>
        <v>2087024.9231552817</v>
      </c>
    </row>
    <row r="225" spans="2:16" x14ac:dyDescent="0.45">
      <c r="B225" s="1">
        <v>46608</v>
      </c>
      <c r="C225" s="4">
        <f>SUMIFS(schedule[Labor CPP], schedule[Start Date],"&lt;="&amp;day_cash[[#This Row],[Date]], schedule[Finish Date],"&gt;="&amp;day_cash[[#This Row],[Date]])</f>
        <v>0</v>
      </c>
      <c r="D225" s="4">
        <f>SUMIFS(schedule[Material CPP], schedule[Start Date],"&lt;="&amp;day_cash[[#This Row],[Date]]-$D$2, schedule[Finish Date],"&gt;="&amp;day_cash[[#This Row],[Date]]-$D$2)</f>
        <v>0</v>
      </c>
      <c r="E225" s="4">
        <f>SUMIFS(schedule[Equipment CPP], schedule[Start Date],"&lt;="&amp;day_cash[[#This Row],[Date]]-$E$2, schedule[Finish Date],"&gt;="&amp;day_cash[[#This Row],[Date]]-$E$2)</f>
        <v>0</v>
      </c>
      <c r="F225" s="4">
        <f>SUMIFS(schedule[Sub CPP], schedule[Start Date],"&lt;="&amp;day_cash[[#This Row],[Date]]-$F$2, schedule[Finish Date],"&gt;="&amp;day_cash[[#This Row],[Date]]-$F$2)</f>
        <v>1936.6197183098591</v>
      </c>
      <c r="G225" s="3">
        <f>SUMIFS(schedule[Other CPP], schedule[Start Date],"&lt;="&amp;day_cash[[#This Row],[Date]]-$G$2, schedule[Finish Date],"&gt;="&amp;day_cash[[#This Row],[Date]]-$G$2)</f>
        <v>0</v>
      </c>
      <c r="H225" s="3">
        <f>SUM(day_cash[[#This Row],[Labor Cost]:[Other Cost]])</f>
        <v>1936.6197183098591</v>
      </c>
      <c r="I225" s="3">
        <f>SUMIFS(schedule[Revenue per Day], schedule[Start Date],"&lt;="&amp;day_cash[[#This Row],[Date]]-$I$2, schedule[Finish Date],"&gt;="&amp;day_cash[[#This Row],[Date]]-$I$2)</f>
        <v>8346.2884223580477</v>
      </c>
      <c r="J225" s="3">
        <f>SUM(day_cash[[#Headers],[Labor Cost]]:day_cash[[#This Row],[Labor Cost]])</f>
        <v>594999.99999999988</v>
      </c>
      <c r="K225" s="3">
        <f>SUM(day_cash[[#Headers],[Material Cost]]:day_cash[[#This Row],[Material Cost]])</f>
        <v>261249.99999999951</v>
      </c>
      <c r="L225" s="3">
        <f>SUM(day_cash[[#Headers],[Equipment Cost]]:day_cash[[#This Row],[Equipment Cost]])</f>
        <v>87999.999999999796</v>
      </c>
      <c r="M225" s="3">
        <f>SUM(day_cash[[#Headers],[Sub Cost]]:day_cash[[#This Row],[Sub Cost]])</f>
        <v>728313.38028168888</v>
      </c>
      <c r="N225" s="3">
        <f>SUM(day_cash[[#Headers],[Other Cost]]:day_cash[[#This Row],[Other Cost]])</f>
        <v>58499.999999999847</v>
      </c>
      <c r="O225" s="3">
        <f>SUM(day_cash[[#This Row],[Cumulative Labor]:[Cumulative Other]])</f>
        <v>1731063.3802816879</v>
      </c>
      <c r="P225" s="3">
        <f>SUM(day_cash[[#Headers],[Revenue]]:day_cash[[#This Row],[Revenue]])</f>
        <v>2095371.2115776397</v>
      </c>
    </row>
    <row r="226" spans="2:16" x14ac:dyDescent="0.45">
      <c r="B226" s="1">
        <v>46609</v>
      </c>
      <c r="C226" s="4">
        <f>SUMIFS(schedule[Labor CPP], schedule[Start Date],"&lt;="&amp;day_cash[[#This Row],[Date]], schedule[Finish Date],"&gt;="&amp;day_cash[[#This Row],[Date]])</f>
        <v>0</v>
      </c>
      <c r="D226" s="4">
        <f>SUMIFS(schedule[Material CPP], schedule[Start Date],"&lt;="&amp;day_cash[[#This Row],[Date]]-$D$2, schedule[Finish Date],"&gt;="&amp;day_cash[[#This Row],[Date]]-$D$2)</f>
        <v>0</v>
      </c>
      <c r="E226" s="4">
        <f>SUMIFS(schedule[Equipment CPP], schedule[Start Date],"&lt;="&amp;day_cash[[#This Row],[Date]]-$E$2, schedule[Finish Date],"&gt;="&amp;day_cash[[#This Row],[Date]]-$E$2)</f>
        <v>0</v>
      </c>
      <c r="F226" s="4">
        <f>SUMIFS(schedule[Sub CPP], schedule[Start Date],"&lt;="&amp;day_cash[[#This Row],[Date]]-$F$2, schedule[Finish Date],"&gt;="&amp;day_cash[[#This Row],[Date]]-$F$2)</f>
        <v>1936.6197183098591</v>
      </c>
      <c r="G226" s="3">
        <f>SUMIFS(schedule[Other CPP], schedule[Start Date],"&lt;="&amp;day_cash[[#This Row],[Date]]-$G$2, schedule[Finish Date],"&gt;="&amp;day_cash[[#This Row],[Date]]-$G$2)</f>
        <v>0</v>
      </c>
      <c r="H226" s="3">
        <f>SUM(day_cash[[#This Row],[Labor Cost]:[Other Cost]])</f>
        <v>1936.6197183098591</v>
      </c>
      <c r="I226" s="3">
        <f>SUMIFS(schedule[Revenue per Day], schedule[Start Date],"&lt;="&amp;day_cash[[#This Row],[Date]]-$I$2, schedule[Finish Date],"&gt;="&amp;day_cash[[#This Row],[Date]]-$I$2)</f>
        <v>8346.2884223580477</v>
      </c>
      <c r="J226" s="3">
        <f>SUM(day_cash[[#Headers],[Labor Cost]]:day_cash[[#This Row],[Labor Cost]])</f>
        <v>594999.99999999988</v>
      </c>
      <c r="K226" s="3">
        <f>SUM(day_cash[[#Headers],[Material Cost]]:day_cash[[#This Row],[Material Cost]])</f>
        <v>261249.99999999951</v>
      </c>
      <c r="L226" s="3">
        <f>SUM(day_cash[[#Headers],[Equipment Cost]]:day_cash[[#This Row],[Equipment Cost]])</f>
        <v>87999.999999999796</v>
      </c>
      <c r="M226" s="3">
        <f>SUM(day_cash[[#Headers],[Sub Cost]]:day_cash[[#This Row],[Sub Cost]])</f>
        <v>730249.99999999872</v>
      </c>
      <c r="N226" s="3">
        <f>SUM(day_cash[[#Headers],[Other Cost]]:day_cash[[#This Row],[Other Cost]])</f>
        <v>58499.999999999847</v>
      </c>
      <c r="O226" s="3">
        <f>SUM(day_cash[[#This Row],[Cumulative Labor]:[Cumulative Other]])</f>
        <v>1732999.9999999977</v>
      </c>
      <c r="P226" s="3">
        <f>SUM(day_cash[[#Headers],[Revenue]]:day_cash[[#This Row],[Revenue]])</f>
        <v>2103717.4999999977</v>
      </c>
    </row>
    <row r="227" spans="2:16" x14ac:dyDescent="0.45">
      <c r="B227" s="1">
        <v>46610</v>
      </c>
      <c r="C227" s="4">
        <f>SUMIFS(schedule[Labor CPP], schedule[Start Date],"&lt;="&amp;day_cash[[#This Row],[Date]], schedule[Finish Date],"&gt;="&amp;day_cash[[#This Row],[Date]])</f>
        <v>0</v>
      </c>
      <c r="D227" s="4">
        <f>SUMIFS(schedule[Material CPP], schedule[Start Date],"&lt;="&amp;day_cash[[#This Row],[Date]]-$D$2, schedule[Finish Date],"&gt;="&amp;day_cash[[#This Row],[Date]]-$D$2)</f>
        <v>0</v>
      </c>
      <c r="E227" s="4">
        <f>SUMIFS(schedule[Equipment CPP], schedule[Start Date],"&lt;="&amp;day_cash[[#This Row],[Date]]-$E$2, schedule[Finish Date],"&gt;="&amp;day_cash[[#This Row],[Date]]-$E$2)</f>
        <v>0</v>
      </c>
      <c r="F227" s="4">
        <f>SUMIFS(schedule[Sub CPP], schedule[Start Date],"&lt;="&amp;day_cash[[#This Row],[Date]]-$F$2, schedule[Finish Date],"&gt;="&amp;day_cash[[#This Row],[Date]]-$F$2)</f>
        <v>0</v>
      </c>
      <c r="G227" s="3">
        <f>SUMIFS(schedule[Other CPP], schedule[Start Date],"&lt;="&amp;day_cash[[#This Row],[Date]]-$G$2, schedule[Finish Date],"&gt;="&amp;day_cash[[#This Row],[Date]]-$G$2)</f>
        <v>0</v>
      </c>
      <c r="H227" s="3">
        <f>SUM(day_cash[[#This Row],[Labor Cost]:[Other Cost]])</f>
        <v>0</v>
      </c>
      <c r="I227" s="3">
        <f>SUMIFS(schedule[Revenue per Day], schedule[Start Date],"&lt;="&amp;day_cash[[#This Row],[Date]]-$I$2, schedule[Finish Date],"&gt;="&amp;day_cash[[#This Row],[Date]]-$I$2)</f>
        <v>0</v>
      </c>
      <c r="J227" s="3">
        <f>SUM(day_cash[[#Headers],[Labor Cost]]:day_cash[[#This Row],[Labor Cost]])</f>
        <v>594999.99999999988</v>
      </c>
      <c r="K227" s="3">
        <f>SUM(day_cash[[#Headers],[Material Cost]]:day_cash[[#This Row],[Material Cost]])</f>
        <v>261249.99999999951</v>
      </c>
      <c r="L227" s="3">
        <f>SUM(day_cash[[#Headers],[Equipment Cost]]:day_cash[[#This Row],[Equipment Cost]])</f>
        <v>87999.999999999796</v>
      </c>
      <c r="M227" s="3">
        <f>SUM(day_cash[[#Headers],[Sub Cost]]:day_cash[[#This Row],[Sub Cost]])</f>
        <v>730249.99999999872</v>
      </c>
      <c r="N227" s="3">
        <f>SUM(day_cash[[#Headers],[Other Cost]]:day_cash[[#This Row],[Other Cost]])</f>
        <v>58499.999999999847</v>
      </c>
      <c r="O227" s="3">
        <f>SUM(day_cash[[#This Row],[Cumulative Labor]:[Cumulative Other]])</f>
        <v>1732999.9999999977</v>
      </c>
      <c r="P227" s="3">
        <f>SUM(day_cash[[#Headers],[Revenue]]:day_cash[[#This Row],[Revenue]])</f>
        <v>2103717.4999999977</v>
      </c>
    </row>
    <row r="228" spans="2:16" x14ac:dyDescent="0.45">
      <c r="B228" s="1">
        <v>46611</v>
      </c>
      <c r="C228" s="4">
        <f>SUMIFS(schedule[Labor CPP], schedule[Start Date],"&lt;="&amp;day_cash[[#This Row],[Date]], schedule[Finish Date],"&gt;="&amp;day_cash[[#This Row],[Date]])</f>
        <v>0</v>
      </c>
      <c r="D228" s="4">
        <f>SUMIFS(schedule[Material CPP], schedule[Start Date],"&lt;="&amp;day_cash[[#This Row],[Date]]-$D$2, schedule[Finish Date],"&gt;="&amp;day_cash[[#This Row],[Date]]-$D$2)</f>
        <v>0</v>
      </c>
      <c r="E228" s="4">
        <f>SUMIFS(schedule[Equipment CPP], schedule[Start Date],"&lt;="&amp;day_cash[[#This Row],[Date]]-$E$2, schedule[Finish Date],"&gt;="&amp;day_cash[[#This Row],[Date]]-$E$2)</f>
        <v>0</v>
      </c>
      <c r="F228" s="4">
        <f>SUMIFS(schedule[Sub CPP], schedule[Start Date],"&lt;="&amp;day_cash[[#This Row],[Date]]-$F$2, schedule[Finish Date],"&gt;="&amp;day_cash[[#This Row],[Date]]-$F$2)</f>
        <v>0</v>
      </c>
      <c r="G228" s="3">
        <f>SUMIFS(schedule[Other CPP], schedule[Start Date],"&lt;="&amp;day_cash[[#This Row],[Date]]-$G$2, schedule[Finish Date],"&gt;="&amp;day_cash[[#This Row],[Date]]-$G$2)</f>
        <v>0</v>
      </c>
      <c r="H228" s="3">
        <f>SUM(day_cash[[#This Row],[Labor Cost]:[Other Cost]])</f>
        <v>0</v>
      </c>
      <c r="I228" s="3">
        <f>SUMIFS(schedule[Revenue per Day], schedule[Start Date],"&lt;="&amp;day_cash[[#This Row],[Date]]-$I$2, schedule[Finish Date],"&gt;="&amp;day_cash[[#This Row],[Date]]-$I$2)</f>
        <v>0</v>
      </c>
      <c r="J228" s="3">
        <f>SUM(day_cash[[#Headers],[Labor Cost]]:day_cash[[#This Row],[Labor Cost]])</f>
        <v>594999.99999999988</v>
      </c>
      <c r="K228" s="3">
        <f>SUM(day_cash[[#Headers],[Material Cost]]:day_cash[[#This Row],[Material Cost]])</f>
        <v>261249.99999999951</v>
      </c>
      <c r="L228" s="3">
        <f>SUM(day_cash[[#Headers],[Equipment Cost]]:day_cash[[#This Row],[Equipment Cost]])</f>
        <v>87999.999999999796</v>
      </c>
      <c r="M228" s="3">
        <f>SUM(day_cash[[#Headers],[Sub Cost]]:day_cash[[#This Row],[Sub Cost]])</f>
        <v>730249.99999999872</v>
      </c>
      <c r="N228" s="3">
        <f>SUM(day_cash[[#Headers],[Other Cost]]:day_cash[[#This Row],[Other Cost]])</f>
        <v>58499.999999999847</v>
      </c>
      <c r="O228" s="3">
        <f>SUM(day_cash[[#This Row],[Cumulative Labor]:[Cumulative Other]])</f>
        <v>1732999.9999999977</v>
      </c>
      <c r="P228" s="3">
        <f>SUM(day_cash[[#Headers],[Revenue]]:day_cash[[#This Row],[Revenue]])</f>
        <v>2103717.4999999977</v>
      </c>
    </row>
    <row r="229" spans="2:16" x14ac:dyDescent="0.45">
      <c r="B229" s="1">
        <v>46612</v>
      </c>
      <c r="C229" s="4">
        <f>SUMIFS(schedule[Labor CPP], schedule[Start Date],"&lt;="&amp;day_cash[[#This Row],[Date]], schedule[Finish Date],"&gt;="&amp;day_cash[[#This Row],[Date]])</f>
        <v>0</v>
      </c>
      <c r="D229" s="4">
        <f>SUMIFS(schedule[Material CPP], schedule[Start Date],"&lt;="&amp;day_cash[[#This Row],[Date]]-$D$2, schedule[Finish Date],"&gt;="&amp;day_cash[[#This Row],[Date]]-$D$2)</f>
        <v>0</v>
      </c>
      <c r="E229" s="4">
        <f>SUMIFS(schedule[Equipment CPP], schedule[Start Date],"&lt;="&amp;day_cash[[#This Row],[Date]]-$E$2, schedule[Finish Date],"&gt;="&amp;day_cash[[#This Row],[Date]]-$E$2)</f>
        <v>0</v>
      </c>
      <c r="F229" s="4">
        <f>SUMIFS(schedule[Sub CPP], schedule[Start Date],"&lt;="&amp;day_cash[[#This Row],[Date]]-$F$2, schedule[Finish Date],"&gt;="&amp;day_cash[[#This Row],[Date]]-$F$2)</f>
        <v>0</v>
      </c>
      <c r="G229" s="3">
        <f>SUMIFS(schedule[Other CPP], schedule[Start Date],"&lt;="&amp;day_cash[[#This Row],[Date]]-$G$2, schedule[Finish Date],"&gt;="&amp;day_cash[[#This Row],[Date]]-$G$2)</f>
        <v>0</v>
      </c>
      <c r="H229" s="3">
        <f>SUM(day_cash[[#This Row],[Labor Cost]:[Other Cost]])</f>
        <v>0</v>
      </c>
      <c r="I229" s="3">
        <f>SUMIFS(schedule[Revenue per Day], schedule[Start Date],"&lt;="&amp;day_cash[[#This Row],[Date]]-$I$2, schedule[Finish Date],"&gt;="&amp;day_cash[[#This Row],[Date]]-$I$2)</f>
        <v>0</v>
      </c>
      <c r="J229" s="3">
        <f>SUM(day_cash[[#Headers],[Labor Cost]]:day_cash[[#This Row],[Labor Cost]])</f>
        <v>594999.99999999988</v>
      </c>
      <c r="K229" s="3">
        <f>SUM(day_cash[[#Headers],[Material Cost]]:day_cash[[#This Row],[Material Cost]])</f>
        <v>261249.99999999951</v>
      </c>
      <c r="L229" s="3">
        <f>SUM(day_cash[[#Headers],[Equipment Cost]]:day_cash[[#This Row],[Equipment Cost]])</f>
        <v>87999.999999999796</v>
      </c>
      <c r="M229" s="3">
        <f>SUM(day_cash[[#Headers],[Sub Cost]]:day_cash[[#This Row],[Sub Cost]])</f>
        <v>730249.99999999872</v>
      </c>
      <c r="N229" s="3">
        <f>SUM(day_cash[[#Headers],[Other Cost]]:day_cash[[#This Row],[Other Cost]])</f>
        <v>58499.999999999847</v>
      </c>
      <c r="O229" s="3">
        <f>SUM(day_cash[[#This Row],[Cumulative Labor]:[Cumulative Other]])</f>
        <v>1732999.9999999977</v>
      </c>
      <c r="P229" s="3">
        <f>SUM(day_cash[[#Headers],[Revenue]]:day_cash[[#This Row],[Revenue]])</f>
        <v>2103717.4999999977</v>
      </c>
    </row>
    <row r="230" spans="2:16" x14ac:dyDescent="0.45">
      <c r="B230" s="1">
        <v>46613</v>
      </c>
      <c r="C230" s="4">
        <f>SUMIFS(schedule[Labor CPP], schedule[Start Date],"&lt;="&amp;day_cash[[#This Row],[Date]], schedule[Finish Date],"&gt;="&amp;day_cash[[#This Row],[Date]])</f>
        <v>0</v>
      </c>
      <c r="D230" s="4">
        <f>SUMIFS(schedule[Material CPP], schedule[Start Date],"&lt;="&amp;day_cash[[#This Row],[Date]]-$D$2, schedule[Finish Date],"&gt;="&amp;day_cash[[#This Row],[Date]]-$D$2)</f>
        <v>0</v>
      </c>
      <c r="E230" s="4">
        <f>SUMIFS(schedule[Equipment CPP], schedule[Start Date],"&lt;="&amp;day_cash[[#This Row],[Date]]-$E$2, schedule[Finish Date],"&gt;="&amp;day_cash[[#This Row],[Date]]-$E$2)</f>
        <v>0</v>
      </c>
      <c r="F230" s="4">
        <f>SUMIFS(schedule[Sub CPP], schedule[Start Date],"&lt;="&amp;day_cash[[#This Row],[Date]]-$F$2, schedule[Finish Date],"&gt;="&amp;day_cash[[#This Row],[Date]]-$F$2)</f>
        <v>0</v>
      </c>
      <c r="G230" s="3">
        <f>SUMIFS(schedule[Other CPP], schedule[Start Date],"&lt;="&amp;day_cash[[#This Row],[Date]]-$G$2, schedule[Finish Date],"&gt;="&amp;day_cash[[#This Row],[Date]]-$G$2)</f>
        <v>0</v>
      </c>
      <c r="H230" s="3">
        <f>SUM(day_cash[[#This Row],[Labor Cost]:[Other Cost]])</f>
        <v>0</v>
      </c>
      <c r="I230" s="3">
        <f>SUMIFS(schedule[Revenue per Day], schedule[Start Date],"&lt;="&amp;day_cash[[#This Row],[Date]]-$I$2, schedule[Finish Date],"&gt;="&amp;day_cash[[#This Row],[Date]]-$I$2)</f>
        <v>0</v>
      </c>
      <c r="J230" s="3">
        <f>SUM(day_cash[[#Headers],[Labor Cost]]:day_cash[[#This Row],[Labor Cost]])</f>
        <v>594999.99999999988</v>
      </c>
      <c r="K230" s="3">
        <f>SUM(day_cash[[#Headers],[Material Cost]]:day_cash[[#This Row],[Material Cost]])</f>
        <v>261249.99999999951</v>
      </c>
      <c r="L230" s="3">
        <f>SUM(day_cash[[#Headers],[Equipment Cost]]:day_cash[[#This Row],[Equipment Cost]])</f>
        <v>87999.999999999796</v>
      </c>
      <c r="M230" s="3">
        <f>SUM(day_cash[[#Headers],[Sub Cost]]:day_cash[[#This Row],[Sub Cost]])</f>
        <v>730249.99999999872</v>
      </c>
      <c r="N230" s="3">
        <f>SUM(day_cash[[#Headers],[Other Cost]]:day_cash[[#This Row],[Other Cost]])</f>
        <v>58499.999999999847</v>
      </c>
      <c r="O230" s="3">
        <f>SUM(day_cash[[#This Row],[Cumulative Labor]:[Cumulative Other]])</f>
        <v>1732999.9999999977</v>
      </c>
      <c r="P230" s="3">
        <f>SUM(day_cash[[#Headers],[Revenue]]:day_cash[[#This Row],[Revenue]])</f>
        <v>2103717.4999999977</v>
      </c>
    </row>
    <row r="231" spans="2:16" x14ac:dyDescent="0.45">
      <c r="B231" s="1">
        <v>46614</v>
      </c>
      <c r="C231" s="4">
        <f>SUMIFS(schedule[Labor CPP], schedule[Start Date],"&lt;="&amp;day_cash[[#This Row],[Date]], schedule[Finish Date],"&gt;="&amp;day_cash[[#This Row],[Date]])</f>
        <v>0</v>
      </c>
      <c r="D231" s="4">
        <f>SUMIFS(schedule[Material CPP], schedule[Start Date],"&lt;="&amp;day_cash[[#This Row],[Date]]-$D$2, schedule[Finish Date],"&gt;="&amp;day_cash[[#This Row],[Date]]-$D$2)</f>
        <v>0</v>
      </c>
      <c r="E231" s="4">
        <f>SUMIFS(schedule[Equipment CPP], schedule[Start Date],"&lt;="&amp;day_cash[[#This Row],[Date]]-$E$2, schedule[Finish Date],"&gt;="&amp;day_cash[[#This Row],[Date]]-$E$2)</f>
        <v>0</v>
      </c>
      <c r="F231" s="4">
        <f>SUMIFS(schedule[Sub CPP], schedule[Start Date],"&lt;="&amp;day_cash[[#This Row],[Date]]-$F$2, schedule[Finish Date],"&gt;="&amp;day_cash[[#This Row],[Date]]-$F$2)</f>
        <v>0</v>
      </c>
      <c r="G231" s="3">
        <f>SUMIFS(schedule[Other CPP], schedule[Start Date],"&lt;="&amp;day_cash[[#This Row],[Date]]-$G$2, schedule[Finish Date],"&gt;="&amp;day_cash[[#This Row],[Date]]-$G$2)</f>
        <v>0</v>
      </c>
      <c r="H231" s="3">
        <f>SUM(day_cash[[#This Row],[Labor Cost]:[Other Cost]])</f>
        <v>0</v>
      </c>
      <c r="I231" s="3">
        <f>SUMIFS(schedule[Revenue per Day], schedule[Start Date],"&lt;="&amp;day_cash[[#This Row],[Date]]-$I$2, schedule[Finish Date],"&gt;="&amp;day_cash[[#This Row],[Date]]-$I$2)</f>
        <v>0</v>
      </c>
      <c r="J231" s="3">
        <f>SUM(day_cash[[#Headers],[Labor Cost]]:day_cash[[#This Row],[Labor Cost]])</f>
        <v>594999.99999999988</v>
      </c>
      <c r="K231" s="3">
        <f>SUM(day_cash[[#Headers],[Material Cost]]:day_cash[[#This Row],[Material Cost]])</f>
        <v>261249.99999999951</v>
      </c>
      <c r="L231" s="3">
        <f>SUM(day_cash[[#Headers],[Equipment Cost]]:day_cash[[#This Row],[Equipment Cost]])</f>
        <v>87999.999999999796</v>
      </c>
      <c r="M231" s="3">
        <f>SUM(day_cash[[#Headers],[Sub Cost]]:day_cash[[#This Row],[Sub Cost]])</f>
        <v>730249.99999999872</v>
      </c>
      <c r="N231" s="3">
        <f>SUM(day_cash[[#Headers],[Other Cost]]:day_cash[[#This Row],[Other Cost]])</f>
        <v>58499.999999999847</v>
      </c>
      <c r="O231" s="3">
        <f>SUM(day_cash[[#This Row],[Cumulative Labor]:[Cumulative Other]])</f>
        <v>1732999.9999999977</v>
      </c>
      <c r="P231" s="3">
        <f>SUM(day_cash[[#Headers],[Revenue]]:day_cash[[#This Row],[Revenue]])</f>
        <v>2103717.4999999977</v>
      </c>
    </row>
    <row r="232" spans="2:16" x14ac:dyDescent="0.45">
      <c r="B232" s="1">
        <v>46615</v>
      </c>
      <c r="C232" s="4">
        <f>SUMIFS(schedule[Labor CPP], schedule[Start Date],"&lt;="&amp;day_cash[[#This Row],[Date]], schedule[Finish Date],"&gt;="&amp;day_cash[[#This Row],[Date]])</f>
        <v>0</v>
      </c>
      <c r="D232" s="4">
        <f>SUMIFS(schedule[Material CPP], schedule[Start Date],"&lt;="&amp;day_cash[[#This Row],[Date]]-$D$2, schedule[Finish Date],"&gt;="&amp;day_cash[[#This Row],[Date]]-$D$2)</f>
        <v>0</v>
      </c>
      <c r="E232" s="4">
        <f>SUMIFS(schedule[Equipment CPP], schedule[Start Date],"&lt;="&amp;day_cash[[#This Row],[Date]]-$E$2, schedule[Finish Date],"&gt;="&amp;day_cash[[#This Row],[Date]]-$E$2)</f>
        <v>0</v>
      </c>
      <c r="F232" s="4">
        <f>SUMIFS(schedule[Sub CPP], schedule[Start Date],"&lt;="&amp;day_cash[[#This Row],[Date]]-$F$2, schedule[Finish Date],"&gt;="&amp;day_cash[[#This Row],[Date]]-$F$2)</f>
        <v>0</v>
      </c>
      <c r="G232" s="3">
        <f>SUMIFS(schedule[Other CPP], schedule[Start Date],"&lt;="&amp;day_cash[[#This Row],[Date]]-$G$2, schedule[Finish Date],"&gt;="&amp;day_cash[[#This Row],[Date]]-$G$2)</f>
        <v>0</v>
      </c>
      <c r="H232" s="3">
        <f>SUM(day_cash[[#This Row],[Labor Cost]:[Other Cost]])</f>
        <v>0</v>
      </c>
      <c r="I232" s="3">
        <f>SUMIFS(schedule[Revenue per Day], schedule[Start Date],"&lt;="&amp;day_cash[[#This Row],[Date]]-$I$2, schedule[Finish Date],"&gt;="&amp;day_cash[[#This Row],[Date]]-$I$2)</f>
        <v>0</v>
      </c>
      <c r="J232" s="3">
        <f>SUM(day_cash[[#Headers],[Labor Cost]]:day_cash[[#This Row],[Labor Cost]])</f>
        <v>594999.99999999988</v>
      </c>
      <c r="K232" s="3">
        <f>SUM(day_cash[[#Headers],[Material Cost]]:day_cash[[#This Row],[Material Cost]])</f>
        <v>261249.99999999951</v>
      </c>
      <c r="L232" s="3">
        <f>SUM(day_cash[[#Headers],[Equipment Cost]]:day_cash[[#This Row],[Equipment Cost]])</f>
        <v>87999.999999999796</v>
      </c>
      <c r="M232" s="3">
        <f>SUM(day_cash[[#Headers],[Sub Cost]]:day_cash[[#This Row],[Sub Cost]])</f>
        <v>730249.99999999872</v>
      </c>
      <c r="N232" s="3">
        <f>SUM(day_cash[[#Headers],[Other Cost]]:day_cash[[#This Row],[Other Cost]])</f>
        <v>58499.999999999847</v>
      </c>
      <c r="O232" s="3">
        <f>SUM(day_cash[[#This Row],[Cumulative Labor]:[Cumulative Other]])</f>
        <v>1732999.9999999977</v>
      </c>
      <c r="P232" s="3">
        <f>SUM(day_cash[[#Headers],[Revenue]]:day_cash[[#This Row],[Revenue]])</f>
        <v>2103717.4999999977</v>
      </c>
    </row>
    <row r="233" spans="2:16" x14ac:dyDescent="0.45">
      <c r="B233" s="1">
        <v>46616</v>
      </c>
      <c r="C233" s="4">
        <f>SUMIFS(schedule[Labor CPP], schedule[Start Date],"&lt;="&amp;day_cash[[#This Row],[Date]], schedule[Finish Date],"&gt;="&amp;day_cash[[#This Row],[Date]])</f>
        <v>0</v>
      </c>
      <c r="D233" s="4">
        <f>SUMIFS(schedule[Material CPP], schedule[Start Date],"&lt;="&amp;day_cash[[#This Row],[Date]]-$D$2, schedule[Finish Date],"&gt;="&amp;day_cash[[#This Row],[Date]]-$D$2)</f>
        <v>0</v>
      </c>
      <c r="E233" s="4">
        <f>SUMIFS(schedule[Equipment CPP], schedule[Start Date],"&lt;="&amp;day_cash[[#This Row],[Date]]-$E$2, schedule[Finish Date],"&gt;="&amp;day_cash[[#This Row],[Date]]-$E$2)</f>
        <v>0</v>
      </c>
      <c r="F233" s="4">
        <f>SUMIFS(schedule[Sub CPP], schedule[Start Date],"&lt;="&amp;day_cash[[#This Row],[Date]]-$F$2, schedule[Finish Date],"&gt;="&amp;day_cash[[#This Row],[Date]]-$F$2)</f>
        <v>0</v>
      </c>
      <c r="G233" s="3">
        <f>SUMIFS(schedule[Other CPP], schedule[Start Date],"&lt;="&amp;day_cash[[#This Row],[Date]]-$G$2, schedule[Finish Date],"&gt;="&amp;day_cash[[#This Row],[Date]]-$G$2)</f>
        <v>0</v>
      </c>
      <c r="H233" s="3">
        <f>SUM(day_cash[[#This Row],[Labor Cost]:[Other Cost]])</f>
        <v>0</v>
      </c>
      <c r="I233" s="3">
        <f>SUMIFS(schedule[Revenue per Day], schedule[Start Date],"&lt;="&amp;day_cash[[#This Row],[Date]]-$I$2, schedule[Finish Date],"&gt;="&amp;day_cash[[#This Row],[Date]]-$I$2)</f>
        <v>0</v>
      </c>
      <c r="J233" s="3">
        <f>SUM(day_cash[[#Headers],[Labor Cost]]:day_cash[[#This Row],[Labor Cost]])</f>
        <v>594999.99999999988</v>
      </c>
      <c r="K233" s="3">
        <f>SUM(day_cash[[#Headers],[Material Cost]]:day_cash[[#This Row],[Material Cost]])</f>
        <v>261249.99999999951</v>
      </c>
      <c r="L233" s="3">
        <f>SUM(day_cash[[#Headers],[Equipment Cost]]:day_cash[[#This Row],[Equipment Cost]])</f>
        <v>87999.999999999796</v>
      </c>
      <c r="M233" s="3">
        <f>SUM(day_cash[[#Headers],[Sub Cost]]:day_cash[[#This Row],[Sub Cost]])</f>
        <v>730249.99999999872</v>
      </c>
      <c r="N233" s="3">
        <f>SUM(day_cash[[#Headers],[Other Cost]]:day_cash[[#This Row],[Other Cost]])</f>
        <v>58499.999999999847</v>
      </c>
      <c r="O233" s="3">
        <f>SUM(day_cash[[#This Row],[Cumulative Labor]:[Cumulative Other]])</f>
        <v>1732999.9999999977</v>
      </c>
      <c r="P233" s="3">
        <f>SUM(day_cash[[#Headers],[Revenue]]:day_cash[[#This Row],[Revenue]])</f>
        <v>2103717.4999999977</v>
      </c>
    </row>
    <row r="234" spans="2:16" x14ac:dyDescent="0.45">
      <c r="B234" s="1">
        <v>46617</v>
      </c>
      <c r="C234" s="4">
        <f>SUMIFS(schedule[Labor CPP], schedule[Start Date],"&lt;="&amp;day_cash[[#This Row],[Date]], schedule[Finish Date],"&gt;="&amp;day_cash[[#This Row],[Date]])</f>
        <v>0</v>
      </c>
      <c r="D234" s="4">
        <f>SUMIFS(schedule[Material CPP], schedule[Start Date],"&lt;="&amp;day_cash[[#This Row],[Date]]-$D$2, schedule[Finish Date],"&gt;="&amp;day_cash[[#This Row],[Date]]-$D$2)</f>
        <v>0</v>
      </c>
      <c r="E234" s="4">
        <f>SUMIFS(schedule[Equipment CPP], schedule[Start Date],"&lt;="&amp;day_cash[[#This Row],[Date]]-$E$2, schedule[Finish Date],"&gt;="&amp;day_cash[[#This Row],[Date]]-$E$2)</f>
        <v>0</v>
      </c>
      <c r="F234" s="4">
        <f>SUMIFS(schedule[Sub CPP], schedule[Start Date],"&lt;="&amp;day_cash[[#This Row],[Date]]-$F$2, schedule[Finish Date],"&gt;="&amp;day_cash[[#This Row],[Date]]-$F$2)</f>
        <v>0</v>
      </c>
      <c r="G234" s="3">
        <f>SUMIFS(schedule[Other CPP], schedule[Start Date],"&lt;="&amp;day_cash[[#This Row],[Date]]-$G$2, schedule[Finish Date],"&gt;="&amp;day_cash[[#This Row],[Date]]-$G$2)</f>
        <v>0</v>
      </c>
      <c r="H234" s="3">
        <f>SUM(day_cash[[#This Row],[Labor Cost]:[Other Cost]])</f>
        <v>0</v>
      </c>
      <c r="I234" s="3">
        <f>SUMIFS(schedule[Revenue per Day], schedule[Start Date],"&lt;="&amp;day_cash[[#This Row],[Date]]-$I$2, schedule[Finish Date],"&gt;="&amp;day_cash[[#This Row],[Date]]-$I$2)</f>
        <v>0</v>
      </c>
      <c r="J234" s="3">
        <f>SUM(day_cash[[#Headers],[Labor Cost]]:day_cash[[#This Row],[Labor Cost]])</f>
        <v>594999.99999999988</v>
      </c>
      <c r="K234" s="3">
        <f>SUM(day_cash[[#Headers],[Material Cost]]:day_cash[[#This Row],[Material Cost]])</f>
        <v>261249.99999999951</v>
      </c>
      <c r="L234" s="3">
        <f>SUM(day_cash[[#Headers],[Equipment Cost]]:day_cash[[#This Row],[Equipment Cost]])</f>
        <v>87999.999999999796</v>
      </c>
      <c r="M234" s="3">
        <f>SUM(day_cash[[#Headers],[Sub Cost]]:day_cash[[#This Row],[Sub Cost]])</f>
        <v>730249.99999999872</v>
      </c>
      <c r="N234" s="3">
        <f>SUM(day_cash[[#Headers],[Other Cost]]:day_cash[[#This Row],[Other Cost]])</f>
        <v>58499.999999999847</v>
      </c>
      <c r="O234" s="3">
        <f>SUM(day_cash[[#This Row],[Cumulative Labor]:[Cumulative Other]])</f>
        <v>1732999.9999999977</v>
      </c>
      <c r="P234" s="3">
        <f>SUM(day_cash[[#Headers],[Revenue]]:day_cash[[#This Row],[Revenue]])</f>
        <v>2103717.4999999977</v>
      </c>
    </row>
    <row r="235" spans="2:16" x14ac:dyDescent="0.45">
      <c r="B235" s="1">
        <v>46618</v>
      </c>
      <c r="C235" s="4">
        <f>SUMIFS(schedule[Labor CPP], schedule[Start Date],"&lt;="&amp;day_cash[[#This Row],[Date]], schedule[Finish Date],"&gt;="&amp;day_cash[[#This Row],[Date]])</f>
        <v>0</v>
      </c>
      <c r="D235" s="4">
        <f>SUMIFS(schedule[Material CPP], schedule[Start Date],"&lt;="&amp;day_cash[[#This Row],[Date]]-$D$2, schedule[Finish Date],"&gt;="&amp;day_cash[[#This Row],[Date]]-$D$2)</f>
        <v>0</v>
      </c>
      <c r="E235" s="4">
        <f>SUMIFS(schedule[Equipment CPP], schedule[Start Date],"&lt;="&amp;day_cash[[#This Row],[Date]]-$E$2, schedule[Finish Date],"&gt;="&amp;day_cash[[#This Row],[Date]]-$E$2)</f>
        <v>0</v>
      </c>
      <c r="F235" s="4">
        <f>SUMIFS(schedule[Sub CPP], schedule[Start Date],"&lt;="&amp;day_cash[[#This Row],[Date]]-$F$2, schedule[Finish Date],"&gt;="&amp;day_cash[[#This Row],[Date]]-$F$2)</f>
        <v>0</v>
      </c>
      <c r="G235" s="3">
        <f>SUMIFS(schedule[Other CPP], schedule[Start Date],"&lt;="&amp;day_cash[[#This Row],[Date]]-$G$2, schedule[Finish Date],"&gt;="&amp;day_cash[[#This Row],[Date]]-$G$2)</f>
        <v>0</v>
      </c>
      <c r="H235" s="3">
        <f>SUM(day_cash[[#This Row],[Labor Cost]:[Other Cost]])</f>
        <v>0</v>
      </c>
      <c r="I235" s="3">
        <f>SUMIFS(schedule[Revenue per Day], schedule[Start Date],"&lt;="&amp;day_cash[[#This Row],[Date]]-$I$2, schedule[Finish Date],"&gt;="&amp;day_cash[[#This Row],[Date]]-$I$2)</f>
        <v>0</v>
      </c>
      <c r="J235" s="3">
        <f>SUM(day_cash[[#Headers],[Labor Cost]]:day_cash[[#This Row],[Labor Cost]])</f>
        <v>594999.99999999988</v>
      </c>
      <c r="K235" s="3">
        <f>SUM(day_cash[[#Headers],[Material Cost]]:day_cash[[#This Row],[Material Cost]])</f>
        <v>261249.99999999951</v>
      </c>
      <c r="L235" s="3">
        <f>SUM(day_cash[[#Headers],[Equipment Cost]]:day_cash[[#This Row],[Equipment Cost]])</f>
        <v>87999.999999999796</v>
      </c>
      <c r="M235" s="3">
        <f>SUM(day_cash[[#Headers],[Sub Cost]]:day_cash[[#This Row],[Sub Cost]])</f>
        <v>730249.99999999872</v>
      </c>
      <c r="N235" s="3">
        <f>SUM(day_cash[[#Headers],[Other Cost]]:day_cash[[#This Row],[Other Cost]])</f>
        <v>58499.999999999847</v>
      </c>
      <c r="O235" s="3">
        <f>SUM(day_cash[[#This Row],[Cumulative Labor]:[Cumulative Other]])</f>
        <v>1732999.9999999977</v>
      </c>
      <c r="P235" s="3">
        <f>SUM(day_cash[[#Headers],[Revenue]]:day_cash[[#This Row],[Revenue]])</f>
        <v>2103717.4999999977</v>
      </c>
    </row>
    <row r="236" spans="2:16" x14ac:dyDescent="0.45">
      <c r="B236" s="1">
        <v>46619</v>
      </c>
      <c r="C236" s="4">
        <f>SUMIFS(schedule[Labor CPP], schedule[Start Date],"&lt;="&amp;day_cash[[#This Row],[Date]], schedule[Finish Date],"&gt;="&amp;day_cash[[#This Row],[Date]])</f>
        <v>0</v>
      </c>
      <c r="D236" s="4">
        <f>SUMIFS(schedule[Material CPP], schedule[Start Date],"&lt;="&amp;day_cash[[#This Row],[Date]]-$D$2, schedule[Finish Date],"&gt;="&amp;day_cash[[#This Row],[Date]]-$D$2)</f>
        <v>0</v>
      </c>
      <c r="E236" s="4">
        <f>SUMIFS(schedule[Equipment CPP], schedule[Start Date],"&lt;="&amp;day_cash[[#This Row],[Date]]-$E$2, schedule[Finish Date],"&gt;="&amp;day_cash[[#This Row],[Date]]-$E$2)</f>
        <v>0</v>
      </c>
      <c r="F236" s="4">
        <f>SUMIFS(schedule[Sub CPP], schedule[Start Date],"&lt;="&amp;day_cash[[#This Row],[Date]]-$F$2, schedule[Finish Date],"&gt;="&amp;day_cash[[#This Row],[Date]]-$F$2)</f>
        <v>0</v>
      </c>
      <c r="G236" s="3">
        <f>SUMIFS(schedule[Other CPP], schedule[Start Date],"&lt;="&amp;day_cash[[#This Row],[Date]]-$G$2, schedule[Finish Date],"&gt;="&amp;day_cash[[#This Row],[Date]]-$G$2)</f>
        <v>0</v>
      </c>
      <c r="H236" s="3">
        <f>SUM(day_cash[[#This Row],[Labor Cost]:[Other Cost]])</f>
        <v>0</v>
      </c>
      <c r="I236" s="3">
        <f>SUMIFS(schedule[Revenue per Day], schedule[Start Date],"&lt;="&amp;day_cash[[#This Row],[Date]]-$I$2, schedule[Finish Date],"&gt;="&amp;day_cash[[#This Row],[Date]]-$I$2)</f>
        <v>0</v>
      </c>
      <c r="J236" s="3">
        <f>SUM(day_cash[[#Headers],[Labor Cost]]:day_cash[[#This Row],[Labor Cost]])</f>
        <v>594999.99999999988</v>
      </c>
      <c r="K236" s="3">
        <f>SUM(day_cash[[#Headers],[Material Cost]]:day_cash[[#This Row],[Material Cost]])</f>
        <v>261249.99999999951</v>
      </c>
      <c r="L236" s="3">
        <f>SUM(day_cash[[#Headers],[Equipment Cost]]:day_cash[[#This Row],[Equipment Cost]])</f>
        <v>87999.999999999796</v>
      </c>
      <c r="M236" s="3">
        <f>SUM(day_cash[[#Headers],[Sub Cost]]:day_cash[[#This Row],[Sub Cost]])</f>
        <v>730249.99999999872</v>
      </c>
      <c r="N236" s="3">
        <f>SUM(day_cash[[#Headers],[Other Cost]]:day_cash[[#This Row],[Other Cost]])</f>
        <v>58499.999999999847</v>
      </c>
      <c r="O236" s="3">
        <f>SUM(day_cash[[#This Row],[Cumulative Labor]:[Cumulative Other]])</f>
        <v>1732999.9999999977</v>
      </c>
      <c r="P236" s="3">
        <f>SUM(day_cash[[#Headers],[Revenue]]:day_cash[[#This Row],[Revenue]])</f>
        <v>2103717.4999999977</v>
      </c>
    </row>
    <row r="237" spans="2:16" x14ac:dyDescent="0.45">
      <c r="B237" s="1">
        <v>46620</v>
      </c>
      <c r="C237" s="4">
        <f>SUMIFS(schedule[Labor CPP], schedule[Start Date],"&lt;="&amp;day_cash[[#This Row],[Date]], schedule[Finish Date],"&gt;="&amp;day_cash[[#This Row],[Date]])</f>
        <v>0</v>
      </c>
      <c r="D237" s="4">
        <f>SUMIFS(schedule[Material CPP], schedule[Start Date],"&lt;="&amp;day_cash[[#This Row],[Date]]-$D$2, schedule[Finish Date],"&gt;="&amp;day_cash[[#This Row],[Date]]-$D$2)</f>
        <v>0</v>
      </c>
      <c r="E237" s="4">
        <f>SUMIFS(schedule[Equipment CPP], schedule[Start Date],"&lt;="&amp;day_cash[[#This Row],[Date]]-$E$2, schedule[Finish Date],"&gt;="&amp;day_cash[[#This Row],[Date]]-$E$2)</f>
        <v>0</v>
      </c>
      <c r="F237" s="4">
        <f>SUMIFS(schedule[Sub CPP], schedule[Start Date],"&lt;="&amp;day_cash[[#This Row],[Date]]-$F$2, schedule[Finish Date],"&gt;="&amp;day_cash[[#This Row],[Date]]-$F$2)</f>
        <v>0</v>
      </c>
      <c r="G237" s="3">
        <f>SUMIFS(schedule[Other CPP], schedule[Start Date],"&lt;="&amp;day_cash[[#This Row],[Date]]-$G$2, schedule[Finish Date],"&gt;="&amp;day_cash[[#This Row],[Date]]-$G$2)</f>
        <v>0</v>
      </c>
      <c r="H237" s="3">
        <f>SUM(day_cash[[#This Row],[Labor Cost]:[Other Cost]])</f>
        <v>0</v>
      </c>
      <c r="I237" s="3">
        <f>SUMIFS(schedule[Revenue per Day], schedule[Start Date],"&lt;="&amp;day_cash[[#This Row],[Date]]-$I$2, schedule[Finish Date],"&gt;="&amp;day_cash[[#This Row],[Date]]-$I$2)</f>
        <v>0</v>
      </c>
      <c r="J237" s="3">
        <f>SUM(day_cash[[#Headers],[Labor Cost]]:day_cash[[#This Row],[Labor Cost]])</f>
        <v>594999.99999999988</v>
      </c>
      <c r="K237" s="3">
        <f>SUM(day_cash[[#Headers],[Material Cost]]:day_cash[[#This Row],[Material Cost]])</f>
        <v>261249.99999999951</v>
      </c>
      <c r="L237" s="3">
        <f>SUM(day_cash[[#Headers],[Equipment Cost]]:day_cash[[#This Row],[Equipment Cost]])</f>
        <v>87999.999999999796</v>
      </c>
      <c r="M237" s="3">
        <f>SUM(day_cash[[#Headers],[Sub Cost]]:day_cash[[#This Row],[Sub Cost]])</f>
        <v>730249.99999999872</v>
      </c>
      <c r="N237" s="3">
        <f>SUM(day_cash[[#Headers],[Other Cost]]:day_cash[[#This Row],[Other Cost]])</f>
        <v>58499.999999999847</v>
      </c>
      <c r="O237" s="3">
        <f>SUM(day_cash[[#This Row],[Cumulative Labor]:[Cumulative Other]])</f>
        <v>1732999.9999999977</v>
      </c>
      <c r="P237" s="3">
        <f>SUM(day_cash[[#Headers],[Revenue]]:day_cash[[#This Row],[Revenue]])</f>
        <v>2103717.4999999977</v>
      </c>
    </row>
    <row r="238" spans="2:16" x14ac:dyDescent="0.45">
      <c r="B238" s="1">
        <v>46621</v>
      </c>
      <c r="C238" s="4">
        <f>SUMIFS(schedule[Labor CPP], schedule[Start Date],"&lt;="&amp;day_cash[[#This Row],[Date]], schedule[Finish Date],"&gt;="&amp;day_cash[[#This Row],[Date]])</f>
        <v>0</v>
      </c>
      <c r="D238" s="4">
        <f>SUMIFS(schedule[Material CPP], schedule[Start Date],"&lt;="&amp;day_cash[[#This Row],[Date]]-$D$2, schedule[Finish Date],"&gt;="&amp;day_cash[[#This Row],[Date]]-$D$2)</f>
        <v>0</v>
      </c>
      <c r="E238" s="4">
        <f>SUMIFS(schedule[Equipment CPP], schedule[Start Date],"&lt;="&amp;day_cash[[#This Row],[Date]]-$E$2, schedule[Finish Date],"&gt;="&amp;day_cash[[#This Row],[Date]]-$E$2)</f>
        <v>0</v>
      </c>
      <c r="F238" s="4">
        <f>SUMIFS(schedule[Sub CPP], schedule[Start Date],"&lt;="&amp;day_cash[[#This Row],[Date]]-$F$2, schedule[Finish Date],"&gt;="&amp;day_cash[[#This Row],[Date]]-$F$2)</f>
        <v>0</v>
      </c>
      <c r="G238" s="3">
        <f>SUMIFS(schedule[Other CPP], schedule[Start Date],"&lt;="&amp;day_cash[[#This Row],[Date]]-$G$2, schedule[Finish Date],"&gt;="&amp;day_cash[[#This Row],[Date]]-$G$2)</f>
        <v>0</v>
      </c>
      <c r="H238" s="3">
        <f>SUM(day_cash[[#This Row],[Labor Cost]:[Other Cost]])</f>
        <v>0</v>
      </c>
      <c r="I238" s="3">
        <f>SUMIFS(schedule[Revenue per Day], schedule[Start Date],"&lt;="&amp;day_cash[[#This Row],[Date]]-$I$2, schedule[Finish Date],"&gt;="&amp;day_cash[[#This Row],[Date]]-$I$2)</f>
        <v>0</v>
      </c>
      <c r="J238" s="3">
        <f>SUM(day_cash[[#Headers],[Labor Cost]]:day_cash[[#This Row],[Labor Cost]])</f>
        <v>594999.99999999988</v>
      </c>
      <c r="K238" s="3">
        <f>SUM(day_cash[[#Headers],[Material Cost]]:day_cash[[#This Row],[Material Cost]])</f>
        <v>261249.99999999951</v>
      </c>
      <c r="L238" s="3">
        <f>SUM(day_cash[[#Headers],[Equipment Cost]]:day_cash[[#This Row],[Equipment Cost]])</f>
        <v>87999.999999999796</v>
      </c>
      <c r="M238" s="3">
        <f>SUM(day_cash[[#Headers],[Sub Cost]]:day_cash[[#This Row],[Sub Cost]])</f>
        <v>730249.99999999872</v>
      </c>
      <c r="N238" s="3">
        <f>SUM(day_cash[[#Headers],[Other Cost]]:day_cash[[#This Row],[Other Cost]])</f>
        <v>58499.999999999847</v>
      </c>
      <c r="O238" s="3">
        <f>SUM(day_cash[[#This Row],[Cumulative Labor]:[Cumulative Other]])</f>
        <v>1732999.9999999977</v>
      </c>
      <c r="P238" s="3">
        <f>SUM(day_cash[[#Headers],[Revenue]]:day_cash[[#This Row],[Revenue]])</f>
        <v>2103717.4999999977</v>
      </c>
    </row>
    <row r="239" spans="2:16" x14ac:dyDescent="0.45">
      <c r="B239" s="1">
        <v>46622</v>
      </c>
      <c r="C239" s="4">
        <f>SUMIFS(schedule[Labor CPP], schedule[Start Date],"&lt;="&amp;day_cash[[#This Row],[Date]], schedule[Finish Date],"&gt;="&amp;day_cash[[#This Row],[Date]])</f>
        <v>0</v>
      </c>
      <c r="D239" s="4">
        <f>SUMIFS(schedule[Material CPP], schedule[Start Date],"&lt;="&amp;day_cash[[#This Row],[Date]]-$D$2, schedule[Finish Date],"&gt;="&amp;day_cash[[#This Row],[Date]]-$D$2)</f>
        <v>0</v>
      </c>
      <c r="E239" s="4">
        <f>SUMIFS(schedule[Equipment CPP], schedule[Start Date],"&lt;="&amp;day_cash[[#This Row],[Date]]-$E$2, schedule[Finish Date],"&gt;="&amp;day_cash[[#This Row],[Date]]-$E$2)</f>
        <v>0</v>
      </c>
      <c r="F239" s="4">
        <f>SUMIFS(schedule[Sub CPP], schedule[Start Date],"&lt;="&amp;day_cash[[#This Row],[Date]]-$F$2, schedule[Finish Date],"&gt;="&amp;day_cash[[#This Row],[Date]]-$F$2)</f>
        <v>0</v>
      </c>
      <c r="G239" s="3">
        <f>SUMIFS(schedule[Other CPP], schedule[Start Date],"&lt;="&amp;day_cash[[#This Row],[Date]]-$G$2, schedule[Finish Date],"&gt;="&amp;day_cash[[#This Row],[Date]]-$G$2)</f>
        <v>0</v>
      </c>
      <c r="H239" s="3">
        <f>SUM(day_cash[[#This Row],[Labor Cost]:[Other Cost]])</f>
        <v>0</v>
      </c>
      <c r="I239" s="3">
        <f>SUMIFS(schedule[Revenue per Day], schedule[Start Date],"&lt;="&amp;day_cash[[#This Row],[Date]]-$I$2, schedule[Finish Date],"&gt;="&amp;day_cash[[#This Row],[Date]]-$I$2)</f>
        <v>0</v>
      </c>
      <c r="J239" s="3">
        <f>SUM(day_cash[[#Headers],[Labor Cost]]:day_cash[[#This Row],[Labor Cost]])</f>
        <v>594999.99999999988</v>
      </c>
      <c r="K239" s="3">
        <f>SUM(day_cash[[#Headers],[Material Cost]]:day_cash[[#This Row],[Material Cost]])</f>
        <v>261249.99999999951</v>
      </c>
      <c r="L239" s="3">
        <f>SUM(day_cash[[#Headers],[Equipment Cost]]:day_cash[[#This Row],[Equipment Cost]])</f>
        <v>87999.999999999796</v>
      </c>
      <c r="M239" s="3">
        <f>SUM(day_cash[[#Headers],[Sub Cost]]:day_cash[[#This Row],[Sub Cost]])</f>
        <v>730249.99999999872</v>
      </c>
      <c r="N239" s="3">
        <f>SUM(day_cash[[#Headers],[Other Cost]]:day_cash[[#This Row],[Other Cost]])</f>
        <v>58499.999999999847</v>
      </c>
      <c r="O239" s="3">
        <f>SUM(day_cash[[#This Row],[Cumulative Labor]:[Cumulative Other]])</f>
        <v>1732999.9999999977</v>
      </c>
      <c r="P239" s="3">
        <f>SUM(day_cash[[#Headers],[Revenue]]:day_cash[[#This Row],[Revenue]])</f>
        <v>2103717.4999999977</v>
      </c>
    </row>
    <row r="240" spans="2:16" x14ac:dyDescent="0.45">
      <c r="B240" s="1">
        <v>46623</v>
      </c>
      <c r="C240" s="4">
        <f>SUMIFS(schedule[Labor CPP], schedule[Start Date],"&lt;="&amp;day_cash[[#This Row],[Date]], schedule[Finish Date],"&gt;="&amp;day_cash[[#This Row],[Date]])</f>
        <v>0</v>
      </c>
      <c r="D240" s="4">
        <f>SUMIFS(schedule[Material CPP], schedule[Start Date],"&lt;="&amp;day_cash[[#This Row],[Date]]-$D$2, schedule[Finish Date],"&gt;="&amp;day_cash[[#This Row],[Date]]-$D$2)</f>
        <v>0</v>
      </c>
      <c r="E240" s="4">
        <f>SUMIFS(schedule[Equipment CPP], schedule[Start Date],"&lt;="&amp;day_cash[[#This Row],[Date]]-$E$2, schedule[Finish Date],"&gt;="&amp;day_cash[[#This Row],[Date]]-$E$2)</f>
        <v>0</v>
      </c>
      <c r="F240" s="4">
        <f>SUMIFS(schedule[Sub CPP], schedule[Start Date],"&lt;="&amp;day_cash[[#This Row],[Date]]-$F$2, schedule[Finish Date],"&gt;="&amp;day_cash[[#This Row],[Date]]-$F$2)</f>
        <v>0</v>
      </c>
      <c r="G240" s="3">
        <f>SUMIFS(schedule[Other CPP], schedule[Start Date],"&lt;="&amp;day_cash[[#This Row],[Date]]-$G$2, schedule[Finish Date],"&gt;="&amp;day_cash[[#This Row],[Date]]-$G$2)</f>
        <v>0</v>
      </c>
      <c r="H240" s="3">
        <f>SUM(day_cash[[#This Row],[Labor Cost]:[Other Cost]])</f>
        <v>0</v>
      </c>
      <c r="I240" s="3">
        <f>SUMIFS(schedule[Revenue per Day], schedule[Start Date],"&lt;="&amp;day_cash[[#This Row],[Date]]-$I$2, schedule[Finish Date],"&gt;="&amp;day_cash[[#This Row],[Date]]-$I$2)</f>
        <v>0</v>
      </c>
      <c r="J240" s="3">
        <f>SUM(day_cash[[#Headers],[Labor Cost]]:day_cash[[#This Row],[Labor Cost]])</f>
        <v>594999.99999999988</v>
      </c>
      <c r="K240" s="3">
        <f>SUM(day_cash[[#Headers],[Material Cost]]:day_cash[[#This Row],[Material Cost]])</f>
        <v>261249.99999999951</v>
      </c>
      <c r="L240" s="3">
        <f>SUM(day_cash[[#Headers],[Equipment Cost]]:day_cash[[#This Row],[Equipment Cost]])</f>
        <v>87999.999999999796</v>
      </c>
      <c r="M240" s="3">
        <f>SUM(day_cash[[#Headers],[Sub Cost]]:day_cash[[#This Row],[Sub Cost]])</f>
        <v>730249.99999999872</v>
      </c>
      <c r="N240" s="3">
        <f>SUM(day_cash[[#Headers],[Other Cost]]:day_cash[[#This Row],[Other Cost]])</f>
        <v>58499.999999999847</v>
      </c>
      <c r="O240" s="3">
        <f>SUM(day_cash[[#This Row],[Cumulative Labor]:[Cumulative Other]])</f>
        <v>1732999.9999999977</v>
      </c>
      <c r="P240" s="3">
        <f>SUM(day_cash[[#Headers],[Revenue]]:day_cash[[#This Row],[Revenue]])</f>
        <v>2103717.4999999977</v>
      </c>
    </row>
    <row r="241" spans="2:16" x14ac:dyDescent="0.45">
      <c r="B241" s="1">
        <v>46624</v>
      </c>
      <c r="C241" s="4">
        <f>SUMIFS(schedule[Labor CPP], schedule[Start Date],"&lt;="&amp;day_cash[[#This Row],[Date]], schedule[Finish Date],"&gt;="&amp;day_cash[[#This Row],[Date]])</f>
        <v>0</v>
      </c>
      <c r="D241" s="4">
        <f>SUMIFS(schedule[Material CPP], schedule[Start Date],"&lt;="&amp;day_cash[[#This Row],[Date]]-$D$2, schedule[Finish Date],"&gt;="&amp;day_cash[[#This Row],[Date]]-$D$2)</f>
        <v>0</v>
      </c>
      <c r="E241" s="4">
        <f>SUMIFS(schedule[Equipment CPP], schedule[Start Date],"&lt;="&amp;day_cash[[#This Row],[Date]]-$E$2, schedule[Finish Date],"&gt;="&amp;day_cash[[#This Row],[Date]]-$E$2)</f>
        <v>0</v>
      </c>
      <c r="F241" s="4">
        <f>SUMIFS(schedule[Sub CPP], schedule[Start Date],"&lt;="&amp;day_cash[[#This Row],[Date]]-$F$2, schedule[Finish Date],"&gt;="&amp;day_cash[[#This Row],[Date]]-$F$2)</f>
        <v>0</v>
      </c>
      <c r="G241" s="3">
        <f>SUMIFS(schedule[Other CPP], schedule[Start Date],"&lt;="&amp;day_cash[[#This Row],[Date]]-$G$2, schedule[Finish Date],"&gt;="&amp;day_cash[[#This Row],[Date]]-$G$2)</f>
        <v>0</v>
      </c>
      <c r="H241" s="3">
        <f>SUM(day_cash[[#This Row],[Labor Cost]:[Other Cost]])</f>
        <v>0</v>
      </c>
      <c r="I241" s="3">
        <f>SUMIFS(schedule[Revenue per Day], schedule[Start Date],"&lt;="&amp;day_cash[[#This Row],[Date]]-$I$2, schedule[Finish Date],"&gt;="&amp;day_cash[[#This Row],[Date]]-$I$2)</f>
        <v>0</v>
      </c>
      <c r="J241" s="3">
        <f>SUM(day_cash[[#Headers],[Labor Cost]]:day_cash[[#This Row],[Labor Cost]])</f>
        <v>594999.99999999988</v>
      </c>
      <c r="K241" s="3">
        <f>SUM(day_cash[[#Headers],[Material Cost]]:day_cash[[#This Row],[Material Cost]])</f>
        <v>261249.99999999951</v>
      </c>
      <c r="L241" s="3">
        <f>SUM(day_cash[[#Headers],[Equipment Cost]]:day_cash[[#This Row],[Equipment Cost]])</f>
        <v>87999.999999999796</v>
      </c>
      <c r="M241" s="3">
        <f>SUM(day_cash[[#Headers],[Sub Cost]]:day_cash[[#This Row],[Sub Cost]])</f>
        <v>730249.99999999872</v>
      </c>
      <c r="N241" s="3">
        <f>SUM(day_cash[[#Headers],[Other Cost]]:day_cash[[#This Row],[Other Cost]])</f>
        <v>58499.999999999847</v>
      </c>
      <c r="O241" s="3">
        <f>SUM(day_cash[[#This Row],[Cumulative Labor]:[Cumulative Other]])</f>
        <v>1732999.9999999977</v>
      </c>
      <c r="P241" s="3">
        <f>SUM(day_cash[[#Headers],[Revenue]]:day_cash[[#This Row],[Revenue]])</f>
        <v>2103717.4999999977</v>
      </c>
    </row>
    <row r="242" spans="2:16" x14ac:dyDescent="0.45">
      <c r="B242" s="1">
        <v>46625</v>
      </c>
      <c r="C242" s="4">
        <f>SUMIFS(schedule[Labor CPP], schedule[Start Date],"&lt;="&amp;day_cash[[#This Row],[Date]], schedule[Finish Date],"&gt;="&amp;day_cash[[#This Row],[Date]])</f>
        <v>0</v>
      </c>
      <c r="D242" s="4">
        <f>SUMIFS(schedule[Material CPP], schedule[Start Date],"&lt;="&amp;day_cash[[#This Row],[Date]]-$D$2, schedule[Finish Date],"&gt;="&amp;day_cash[[#This Row],[Date]]-$D$2)</f>
        <v>0</v>
      </c>
      <c r="E242" s="4">
        <f>SUMIFS(schedule[Equipment CPP], schedule[Start Date],"&lt;="&amp;day_cash[[#This Row],[Date]]-$E$2, schedule[Finish Date],"&gt;="&amp;day_cash[[#This Row],[Date]]-$E$2)</f>
        <v>0</v>
      </c>
      <c r="F242" s="4">
        <f>SUMIFS(schedule[Sub CPP], schedule[Start Date],"&lt;="&amp;day_cash[[#This Row],[Date]]-$F$2, schedule[Finish Date],"&gt;="&amp;day_cash[[#This Row],[Date]]-$F$2)</f>
        <v>0</v>
      </c>
      <c r="G242" s="3">
        <f>SUMIFS(schedule[Other CPP], schedule[Start Date],"&lt;="&amp;day_cash[[#This Row],[Date]]-$G$2, schedule[Finish Date],"&gt;="&amp;day_cash[[#This Row],[Date]]-$G$2)</f>
        <v>0</v>
      </c>
      <c r="H242" s="3">
        <f>SUM(day_cash[[#This Row],[Labor Cost]:[Other Cost]])</f>
        <v>0</v>
      </c>
      <c r="I242" s="3">
        <f>SUMIFS(schedule[Revenue per Day], schedule[Start Date],"&lt;="&amp;day_cash[[#This Row],[Date]]-$I$2, schedule[Finish Date],"&gt;="&amp;day_cash[[#This Row],[Date]]-$I$2)</f>
        <v>0</v>
      </c>
      <c r="J242" s="3">
        <f>SUM(day_cash[[#Headers],[Labor Cost]]:day_cash[[#This Row],[Labor Cost]])</f>
        <v>594999.99999999988</v>
      </c>
      <c r="K242" s="3">
        <f>SUM(day_cash[[#Headers],[Material Cost]]:day_cash[[#This Row],[Material Cost]])</f>
        <v>261249.99999999951</v>
      </c>
      <c r="L242" s="3">
        <f>SUM(day_cash[[#Headers],[Equipment Cost]]:day_cash[[#This Row],[Equipment Cost]])</f>
        <v>87999.999999999796</v>
      </c>
      <c r="M242" s="3">
        <f>SUM(day_cash[[#Headers],[Sub Cost]]:day_cash[[#This Row],[Sub Cost]])</f>
        <v>730249.99999999872</v>
      </c>
      <c r="N242" s="3">
        <f>SUM(day_cash[[#Headers],[Other Cost]]:day_cash[[#This Row],[Other Cost]])</f>
        <v>58499.999999999847</v>
      </c>
      <c r="O242" s="3">
        <f>SUM(day_cash[[#This Row],[Cumulative Labor]:[Cumulative Other]])</f>
        <v>1732999.9999999977</v>
      </c>
      <c r="P242" s="3">
        <f>SUM(day_cash[[#Headers],[Revenue]]:day_cash[[#This Row],[Revenue]])</f>
        <v>2103717.4999999977</v>
      </c>
    </row>
    <row r="243" spans="2:16" x14ac:dyDescent="0.45">
      <c r="B243" s="1">
        <v>46626</v>
      </c>
      <c r="C243" s="4">
        <f>SUMIFS(schedule[Labor CPP], schedule[Start Date],"&lt;="&amp;day_cash[[#This Row],[Date]], schedule[Finish Date],"&gt;="&amp;day_cash[[#This Row],[Date]])</f>
        <v>0</v>
      </c>
      <c r="D243" s="4">
        <f>SUMIFS(schedule[Material CPP], schedule[Start Date],"&lt;="&amp;day_cash[[#This Row],[Date]]-$D$2, schedule[Finish Date],"&gt;="&amp;day_cash[[#This Row],[Date]]-$D$2)</f>
        <v>0</v>
      </c>
      <c r="E243" s="4">
        <f>SUMIFS(schedule[Equipment CPP], schedule[Start Date],"&lt;="&amp;day_cash[[#This Row],[Date]]-$E$2, schedule[Finish Date],"&gt;="&amp;day_cash[[#This Row],[Date]]-$E$2)</f>
        <v>0</v>
      </c>
      <c r="F243" s="4">
        <f>SUMIFS(schedule[Sub CPP], schedule[Start Date],"&lt;="&amp;day_cash[[#This Row],[Date]]-$F$2, schedule[Finish Date],"&gt;="&amp;day_cash[[#This Row],[Date]]-$F$2)</f>
        <v>0</v>
      </c>
      <c r="G243" s="3">
        <f>SUMIFS(schedule[Other CPP], schedule[Start Date],"&lt;="&amp;day_cash[[#This Row],[Date]]-$G$2, schedule[Finish Date],"&gt;="&amp;day_cash[[#This Row],[Date]]-$G$2)</f>
        <v>0</v>
      </c>
      <c r="H243" s="3">
        <f>SUM(day_cash[[#This Row],[Labor Cost]:[Other Cost]])</f>
        <v>0</v>
      </c>
      <c r="I243" s="3">
        <f>SUMIFS(schedule[Revenue per Day], schedule[Start Date],"&lt;="&amp;day_cash[[#This Row],[Date]]-$I$2, schedule[Finish Date],"&gt;="&amp;day_cash[[#This Row],[Date]]-$I$2)</f>
        <v>0</v>
      </c>
      <c r="J243" s="3">
        <f>SUM(day_cash[[#Headers],[Labor Cost]]:day_cash[[#This Row],[Labor Cost]])</f>
        <v>594999.99999999988</v>
      </c>
      <c r="K243" s="3">
        <f>SUM(day_cash[[#Headers],[Material Cost]]:day_cash[[#This Row],[Material Cost]])</f>
        <v>261249.99999999951</v>
      </c>
      <c r="L243" s="3">
        <f>SUM(day_cash[[#Headers],[Equipment Cost]]:day_cash[[#This Row],[Equipment Cost]])</f>
        <v>87999.999999999796</v>
      </c>
      <c r="M243" s="3">
        <f>SUM(day_cash[[#Headers],[Sub Cost]]:day_cash[[#This Row],[Sub Cost]])</f>
        <v>730249.99999999872</v>
      </c>
      <c r="N243" s="3">
        <f>SUM(day_cash[[#Headers],[Other Cost]]:day_cash[[#This Row],[Other Cost]])</f>
        <v>58499.999999999847</v>
      </c>
      <c r="O243" s="3">
        <f>SUM(day_cash[[#This Row],[Cumulative Labor]:[Cumulative Other]])</f>
        <v>1732999.9999999977</v>
      </c>
      <c r="P243" s="3">
        <f>SUM(day_cash[[#Headers],[Revenue]]:day_cash[[#This Row],[Revenue]])</f>
        <v>2103717.4999999977</v>
      </c>
    </row>
    <row r="244" spans="2:16" x14ac:dyDescent="0.45">
      <c r="B244" s="1">
        <v>46627</v>
      </c>
      <c r="C244" s="4">
        <f>SUMIFS(schedule[Labor CPP], schedule[Start Date],"&lt;="&amp;day_cash[[#This Row],[Date]], schedule[Finish Date],"&gt;="&amp;day_cash[[#This Row],[Date]])</f>
        <v>0</v>
      </c>
      <c r="D244" s="4">
        <f>SUMIFS(schedule[Material CPP], schedule[Start Date],"&lt;="&amp;day_cash[[#This Row],[Date]]-$D$2, schedule[Finish Date],"&gt;="&amp;day_cash[[#This Row],[Date]]-$D$2)</f>
        <v>0</v>
      </c>
      <c r="E244" s="4">
        <f>SUMIFS(schedule[Equipment CPP], schedule[Start Date],"&lt;="&amp;day_cash[[#This Row],[Date]]-$E$2, schedule[Finish Date],"&gt;="&amp;day_cash[[#This Row],[Date]]-$E$2)</f>
        <v>0</v>
      </c>
      <c r="F244" s="4">
        <f>SUMIFS(schedule[Sub CPP], schedule[Start Date],"&lt;="&amp;day_cash[[#This Row],[Date]]-$F$2, schedule[Finish Date],"&gt;="&amp;day_cash[[#This Row],[Date]]-$F$2)</f>
        <v>0</v>
      </c>
      <c r="G244" s="3">
        <f>SUMIFS(schedule[Other CPP], schedule[Start Date],"&lt;="&amp;day_cash[[#This Row],[Date]]-$G$2, schedule[Finish Date],"&gt;="&amp;day_cash[[#This Row],[Date]]-$G$2)</f>
        <v>0</v>
      </c>
      <c r="H244" s="3">
        <f>SUM(day_cash[[#This Row],[Labor Cost]:[Other Cost]])</f>
        <v>0</v>
      </c>
      <c r="I244" s="3">
        <f>SUMIFS(schedule[Revenue per Day], schedule[Start Date],"&lt;="&amp;day_cash[[#This Row],[Date]]-$I$2, schedule[Finish Date],"&gt;="&amp;day_cash[[#This Row],[Date]]-$I$2)</f>
        <v>0</v>
      </c>
      <c r="J244" s="3">
        <f>SUM(day_cash[[#Headers],[Labor Cost]]:day_cash[[#This Row],[Labor Cost]])</f>
        <v>594999.99999999988</v>
      </c>
      <c r="K244" s="3">
        <f>SUM(day_cash[[#Headers],[Material Cost]]:day_cash[[#This Row],[Material Cost]])</f>
        <v>261249.99999999951</v>
      </c>
      <c r="L244" s="3">
        <f>SUM(day_cash[[#Headers],[Equipment Cost]]:day_cash[[#This Row],[Equipment Cost]])</f>
        <v>87999.999999999796</v>
      </c>
      <c r="M244" s="3">
        <f>SUM(day_cash[[#Headers],[Sub Cost]]:day_cash[[#This Row],[Sub Cost]])</f>
        <v>730249.99999999872</v>
      </c>
      <c r="N244" s="3">
        <f>SUM(day_cash[[#Headers],[Other Cost]]:day_cash[[#This Row],[Other Cost]])</f>
        <v>58499.999999999847</v>
      </c>
      <c r="O244" s="3">
        <f>SUM(day_cash[[#This Row],[Cumulative Labor]:[Cumulative Other]])</f>
        <v>1732999.9999999977</v>
      </c>
      <c r="P244" s="3">
        <f>SUM(day_cash[[#Headers],[Revenue]]:day_cash[[#This Row],[Revenue]])</f>
        <v>2103717.4999999977</v>
      </c>
    </row>
    <row r="245" spans="2:16" x14ac:dyDescent="0.45">
      <c r="B245" s="1">
        <v>46628</v>
      </c>
      <c r="C245" s="4">
        <f>SUMIFS(schedule[Labor CPP], schedule[Start Date],"&lt;="&amp;day_cash[[#This Row],[Date]], schedule[Finish Date],"&gt;="&amp;day_cash[[#This Row],[Date]])</f>
        <v>0</v>
      </c>
      <c r="D245" s="4">
        <f>SUMIFS(schedule[Material CPP], schedule[Start Date],"&lt;="&amp;day_cash[[#This Row],[Date]]-$D$2, schedule[Finish Date],"&gt;="&amp;day_cash[[#This Row],[Date]]-$D$2)</f>
        <v>0</v>
      </c>
      <c r="E245" s="4">
        <f>SUMIFS(schedule[Equipment CPP], schedule[Start Date],"&lt;="&amp;day_cash[[#This Row],[Date]]-$E$2, schedule[Finish Date],"&gt;="&amp;day_cash[[#This Row],[Date]]-$E$2)</f>
        <v>0</v>
      </c>
      <c r="F245" s="4">
        <f>SUMIFS(schedule[Sub CPP], schedule[Start Date],"&lt;="&amp;day_cash[[#This Row],[Date]]-$F$2, schedule[Finish Date],"&gt;="&amp;day_cash[[#This Row],[Date]]-$F$2)</f>
        <v>0</v>
      </c>
      <c r="G245" s="3">
        <f>SUMIFS(schedule[Other CPP], schedule[Start Date],"&lt;="&amp;day_cash[[#This Row],[Date]]-$G$2, schedule[Finish Date],"&gt;="&amp;day_cash[[#This Row],[Date]]-$G$2)</f>
        <v>0</v>
      </c>
      <c r="H245" s="3">
        <f>SUM(day_cash[[#This Row],[Labor Cost]:[Other Cost]])</f>
        <v>0</v>
      </c>
      <c r="I245" s="3">
        <f>SUMIFS(schedule[Revenue per Day], schedule[Start Date],"&lt;="&amp;day_cash[[#This Row],[Date]]-$I$2, schedule[Finish Date],"&gt;="&amp;day_cash[[#This Row],[Date]]-$I$2)</f>
        <v>0</v>
      </c>
      <c r="J245" s="3">
        <f>SUM(day_cash[[#Headers],[Labor Cost]]:day_cash[[#This Row],[Labor Cost]])</f>
        <v>594999.99999999988</v>
      </c>
      <c r="K245" s="3">
        <f>SUM(day_cash[[#Headers],[Material Cost]]:day_cash[[#This Row],[Material Cost]])</f>
        <v>261249.99999999951</v>
      </c>
      <c r="L245" s="3">
        <f>SUM(day_cash[[#Headers],[Equipment Cost]]:day_cash[[#This Row],[Equipment Cost]])</f>
        <v>87999.999999999796</v>
      </c>
      <c r="M245" s="3">
        <f>SUM(day_cash[[#Headers],[Sub Cost]]:day_cash[[#This Row],[Sub Cost]])</f>
        <v>730249.99999999872</v>
      </c>
      <c r="N245" s="3">
        <f>SUM(day_cash[[#Headers],[Other Cost]]:day_cash[[#This Row],[Other Cost]])</f>
        <v>58499.999999999847</v>
      </c>
      <c r="O245" s="3">
        <f>SUM(day_cash[[#This Row],[Cumulative Labor]:[Cumulative Other]])</f>
        <v>1732999.9999999977</v>
      </c>
      <c r="P245" s="3">
        <f>SUM(day_cash[[#Headers],[Revenue]]:day_cash[[#This Row],[Revenue]])</f>
        <v>2103717.4999999977</v>
      </c>
    </row>
    <row r="246" spans="2:16" x14ac:dyDescent="0.45">
      <c r="B246" s="1">
        <v>46629</v>
      </c>
      <c r="C246" s="4">
        <f>SUMIFS(schedule[Labor CPP], schedule[Start Date],"&lt;="&amp;day_cash[[#This Row],[Date]], schedule[Finish Date],"&gt;="&amp;day_cash[[#This Row],[Date]])</f>
        <v>0</v>
      </c>
      <c r="D246" s="4">
        <f>SUMIFS(schedule[Material CPP], schedule[Start Date],"&lt;="&amp;day_cash[[#This Row],[Date]]-$D$2, schedule[Finish Date],"&gt;="&amp;day_cash[[#This Row],[Date]]-$D$2)</f>
        <v>0</v>
      </c>
      <c r="E246" s="4">
        <f>SUMIFS(schedule[Equipment CPP], schedule[Start Date],"&lt;="&amp;day_cash[[#This Row],[Date]]-$E$2, schedule[Finish Date],"&gt;="&amp;day_cash[[#This Row],[Date]]-$E$2)</f>
        <v>0</v>
      </c>
      <c r="F246" s="4">
        <f>SUMIFS(schedule[Sub CPP], schedule[Start Date],"&lt;="&amp;day_cash[[#This Row],[Date]]-$F$2, schedule[Finish Date],"&gt;="&amp;day_cash[[#This Row],[Date]]-$F$2)</f>
        <v>0</v>
      </c>
      <c r="G246" s="3">
        <f>SUMIFS(schedule[Other CPP], schedule[Start Date],"&lt;="&amp;day_cash[[#This Row],[Date]]-$G$2, schedule[Finish Date],"&gt;="&amp;day_cash[[#This Row],[Date]]-$G$2)</f>
        <v>0</v>
      </c>
      <c r="H246" s="3">
        <f>SUM(day_cash[[#This Row],[Labor Cost]:[Other Cost]])</f>
        <v>0</v>
      </c>
      <c r="I246" s="3">
        <f>SUMIFS(schedule[Revenue per Day], schedule[Start Date],"&lt;="&amp;day_cash[[#This Row],[Date]]-$I$2, schedule[Finish Date],"&gt;="&amp;day_cash[[#This Row],[Date]]-$I$2)</f>
        <v>0</v>
      </c>
      <c r="J246" s="3">
        <f>SUM(day_cash[[#Headers],[Labor Cost]]:day_cash[[#This Row],[Labor Cost]])</f>
        <v>594999.99999999988</v>
      </c>
      <c r="K246" s="3">
        <f>SUM(day_cash[[#Headers],[Material Cost]]:day_cash[[#This Row],[Material Cost]])</f>
        <v>261249.99999999951</v>
      </c>
      <c r="L246" s="3">
        <f>SUM(day_cash[[#Headers],[Equipment Cost]]:day_cash[[#This Row],[Equipment Cost]])</f>
        <v>87999.999999999796</v>
      </c>
      <c r="M246" s="3">
        <f>SUM(day_cash[[#Headers],[Sub Cost]]:day_cash[[#This Row],[Sub Cost]])</f>
        <v>730249.99999999872</v>
      </c>
      <c r="N246" s="3">
        <f>SUM(day_cash[[#Headers],[Other Cost]]:day_cash[[#This Row],[Other Cost]])</f>
        <v>58499.999999999847</v>
      </c>
      <c r="O246" s="3">
        <f>SUM(day_cash[[#This Row],[Cumulative Labor]:[Cumulative Other]])</f>
        <v>1732999.9999999977</v>
      </c>
      <c r="P246" s="3">
        <f>SUM(day_cash[[#Headers],[Revenue]]:day_cash[[#This Row],[Revenue]])</f>
        <v>2103717.4999999977</v>
      </c>
    </row>
    <row r="247" spans="2:16" x14ac:dyDescent="0.45">
      <c r="B247" s="1">
        <v>46630</v>
      </c>
      <c r="C247" s="4">
        <f>SUMIFS(schedule[Labor CPP], schedule[Start Date],"&lt;="&amp;day_cash[[#This Row],[Date]], schedule[Finish Date],"&gt;="&amp;day_cash[[#This Row],[Date]])</f>
        <v>0</v>
      </c>
      <c r="D247" s="4">
        <f>SUMIFS(schedule[Material CPP], schedule[Start Date],"&lt;="&amp;day_cash[[#This Row],[Date]]-$D$2, schedule[Finish Date],"&gt;="&amp;day_cash[[#This Row],[Date]]-$D$2)</f>
        <v>0</v>
      </c>
      <c r="E247" s="4">
        <f>SUMIFS(schedule[Equipment CPP], schedule[Start Date],"&lt;="&amp;day_cash[[#This Row],[Date]]-$E$2, schedule[Finish Date],"&gt;="&amp;day_cash[[#This Row],[Date]]-$E$2)</f>
        <v>0</v>
      </c>
      <c r="F247" s="4">
        <f>SUMIFS(schedule[Sub CPP], schedule[Start Date],"&lt;="&amp;day_cash[[#This Row],[Date]]-$F$2, schedule[Finish Date],"&gt;="&amp;day_cash[[#This Row],[Date]]-$F$2)</f>
        <v>0</v>
      </c>
      <c r="G247" s="3">
        <f>SUMIFS(schedule[Other CPP], schedule[Start Date],"&lt;="&amp;day_cash[[#This Row],[Date]]-$G$2, schedule[Finish Date],"&gt;="&amp;day_cash[[#This Row],[Date]]-$G$2)</f>
        <v>0</v>
      </c>
      <c r="H247" s="3">
        <f>SUM(day_cash[[#This Row],[Labor Cost]:[Other Cost]])</f>
        <v>0</v>
      </c>
      <c r="I247" s="3">
        <f>SUMIFS(schedule[Revenue per Day], schedule[Start Date],"&lt;="&amp;day_cash[[#This Row],[Date]]-$I$2, schedule[Finish Date],"&gt;="&amp;day_cash[[#This Row],[Date]]-$I$2)</f>
        <v>0</v>
      </c>
      <c r="J247" s="3">
        <f>SUM(day_cash[[#Headers],[Labor Cost]]:day_cash[[#This Row],[Labor Cost]])</f>
        <v>594999.99999999988</v>
      </c>
      <c r="K247" s="3">
        <f>SUM(day_cash[[#Headers],[Material Cost]]:day_cash[[#This Row],[Material Cost]])</f>
        <v>261249.99999999951</v>
      </c>
      <c r="L247" s="3">
        <f>SUM(day_cash[[#Headers],[Equipment Cost]]:day_cash[[#This Row],[Equipment Cost]])</f>
        <v>87999.999999999796</v>
      </c>
      <c r="M247" s="3">
        <f>SUM(day_cash[[#Headers],[Sub Cost]]:day_cash[[#This Row],[Sub Cost]])</f>
        <v>730249.99999999872</v>
      </c>
      <c r="N247" s="3">
        <f>SUM(day_cash[[#Headers],[Other Cost]]:day_cash[[#This Row],[Other Cost]])</f>
        <v>58499.999999999847</v>
      </c>
      <c r="O247" s="3">
        <f>SUM(day_cash[[#This Row],[Cumulative Labor]:[Cumulative Other]])</f>
        <v>1732999.9999999977</v>
      </c>
      <c r="P247" s="3">
        <f>SUM(day_cash[[#Headers],[Revenue]]:day_cash[[#This Row],[Revenue]])</f>
        <v>2103717.4999999977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C3AA-2686-47AB-A3AD-9E15543C361B}">
  <dimension ref="B2:P277"/>
  <sheetViews>
    <sheetView zoomScale="70" zoomScaleNormal="70" workbookViewId="0">
      <selection activeCell="B1" sqref="B1"/>
    </sheetView>
  </sheetViews>
  <sheetFormatPr defaultRowHeight="14.25" x14ac:dyDescent="0.45"/>
  <cols>
    <col min="2" max="2" width="19" bestFit="1" customWidth="1"/>
    <col min="3" max="3" width="12.53125" bestFit="1" customWidth="1"/>
    <col min="4" max="4" width="14.9296875" bestFit="1" customWidth="1"/>
    <col min="5" max="5" width="17" bestFit="1" customWidth="1"/>
    <col min="6" max="6" width="11.33203125" bestFit="1" customWidth="1"/>
    <col min="7" max="7" width="14.06640625" style="3" bestFit="1" customWidth="1"/>
    <col min="8" max="8" width="11.33203125" style="3" bestFit="1" customWidth="1"/>
    <col min="9" max="9" width="12.6640625" style="3" bestFit="1" customWidth="1"/>
    <col min="10" max="10" width="19.796875" style="3" bestFit="1" customWidth="1"/>
    <col min="11" max="11" width="22.265625" style="3" bestFit="1" customWidth="1"/>
    <col min="12" max="12" width="24.265625" style="3" bestFit="1" customWidth="1"/>
    <col min="13" max="13" width="18.265625" style="3" bestFit="1" customWidth="1"/>
    <col min="14" max="14" width="20" style="3" bestFit="1" customWidth="1"/>
    <col min="15" max="15" width="18.73046875" style="3" bestFit="1" customWidth="1"/>
    <col min="16" max="16" width="22.6640625" style="3" bestFit="1" customWidth="1"/>
  </cols>
  <sheetData>
    <row r="2" spans="2:16" x14ac:dyDescent="0.45">
      <c r="B2" t="s">
        <v>57</v>
      </c>
      <c r="D2">
        <v>30</v>
      </c>
      <c r="E2">
        <v>30</v>
      </c>
      <c r="F2">
        <v>60</v>
      </c>
      <c r="G2" s="6">
        <v>30</v>
      </c>
      <c r="I2" s="6">
        <v>90</v>
      </c>
    </row>
    <row r="4" spans="2:16" x14ac:dyDescent="0.45">
      <c r="B4" t="s">
        <v>31</v>
      </c>
      <c r="C4" t="s">
        <v>48</v>
      </c>
      <c r="D4" t="s">
        <v>49</v>
      </c>
      <c r="E4" t="s">
        <v>50</v>
      </c>
      <c r="F4" t="s">
        <v>51</v>
      </c>
      <c r="G4" s="3" t="s">
        <v>46</v>
      </c>
      <c r="H4" s="3" t="s">
        <v>52</v>
      </c>
      <c r="I4" s="3" t="s">
        <v>34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47</v>
      </c>
      <c r="O4" s="3" t="s">
        <v>32</v>
      </c>
      <c r="P4" s="3" t="s">
        <v>33</v>
      </c>
    </row>
    <row r="5" spans="2:16" x14ac:dyDescent="0.45">
      <c r="B5" s="1">
        <v>46388</v>
      </c>
      <c r="C5" s="3">
        <f>SUMIFS(schedule[Labor CPP], schedule[Start Date],"&lt;="&amp;day_cash_behind[[#This Row],[Date]], schedule[Finish Date],"&gt;="&amp;day_cash_behind[[#This Row],[Date]])</f>
        <v>0</v>
      </c>
      <c r="D5" s="3">
        <f>SUMIFS(schedule[Material CPP], schedule[Start Date],"&lt;="&amp;day_cash_behind[[#This Row],[Date]]-$D$2, schedule[Finish Date],"&gt;="&amp;day_cash_behind[[#This Row],[Date]]-$D$2)</f>
        <v>0</v>
      </c>
      <c r="E5" s="3">
        <f>SUMIFS(schedule[Equipment CPP], schedule[Start Date],"&lt;="&amp;day_cash_behind[[#This Row],[Date]]-$E$2, schedule[Finish Date],"&gt;="&amp;day_cash_behind[[#This Row],[Date]]-$E$2)</f>
        <v>0</v>
      </c>
      <c r="F5" s="3">
        <f>SUMIFS(schedule[Sub CPP], schedule[Start Date],"&lt;="&amp;day_cash_behind[[#This Row],[Date]]-$F$2, schedule[Finish Date],"&gt;="&amp;day_cash_behind[[#This Row],[Date]]-$F$2)</f>
        <v>0</v>
      </c>
      <c r="G5" s="3">
        <f>SUMIFS(schedule[Other CPP], schedule[Start Date],"&lt;="&amp;day_cash_behind[[#This Row],[Date]]-$G$2, schedule[Finish Date],"&gt;="&amp;day_cash_behind[[#This Row],[Date]]-$G$2)</f>
        <v>0</v>
      </c>
      <c r="H5" s="3">
        <f>SUM(day_cash_behind[[#This Row],[Labor Cost]:[Other Cost]])</f>
        <v>0</v>
      </c>
      <c r="I5" s="3">
        <f>SUMIFS(schedule[Revenue per Day], schedule[Start Date],"&lt;="&amp;day_cash_behind[[#This Row],[Date]]-$I$2, schedule[Finish Date],"&gt;="&amp;day_cash_behind[[#This Row],[Date]]-$I$2)</f>
        <v>0</v>
      </c>
      <c r="J5" s="3">
        <f>SUM(day_cash_behind[[#Headers],[Labor Cost]]:day_cash_behind[[#This Row],[Labor Cost]])</f>
        <v>0</v>
      </c>
      <c r="K5" s="3">
        <f>SUM(day_cash_behind[[#Headers],[Material Cost]]:day_cash_behind[[#This Row],[Material Cost]])</f>
        <v>0</v>
      </c>
      <c r="L5" s="3">
        <f>SUM(day_cash_behind[[#Headers],[Equipment Cost]]:day_cash_behind[[#This Row],[Equipment Cost]])</f>
        <v>0</v>
      </c>
      <c r="M5" s="3">
        <f>SUM(day_cash_behind[[#Headers],[Sub Cost]]:day_cash_behind[[#This Row],[Sub Cost]])</f>
        <v>0</v>
      </c>
      <c r="N5" s="3">
        <f>SUM(day_cash_behind[[#Headers],[Other Cost]]:day_cash_behind[[#This Row],[Other Cost]])</f>
        <v>0</v>
      </c>
      <c r="O5" s="3">
        <f>SUM(day_cash_behind[[#This Row],[Cumulative Labor]:[Cumulative Other]])</f>
        <v>0</v>
      </c>
      <c r="P5" s="3">
        <f>SUM(day_cash_behind[[#Headers],[Revenue]]:day_cash_behind[[#This Row],[Revenue]])</f>
        <v>0</v>
      </c>
    </row>
    <row r="6" spans="2:16" x14ac:dyDescent="0.45">
      <c r="B6" s="1">
        <v>46389</v>
      </c>
      <c r="C6" s="4">
        <f>SUMIFS(schedule[Labor CPP], schedule[Start Date],"&lt;="&amp;day_cash_behind[[#This Row],[Date]], schedule[Finish Date],"&gt;="&amp;day_cash_behind[[#This Row],[Date]])</f>
        <v>0</v>
      </c>
      <c r="D6" s="4">
        <f>SUMIFS(schedule[Material CPP], schedule[Start Date],"&lt;="&amp;day_cash_behind[[#This Row],[Date]]-$D$2, schedule[Finish Date],"&gt;="&amp;day_cash_behind[[#This Row],[Date]]-$D$2)</f>
        <v>0</v>
      </c>
      <c r="E6" s="4">
        <f>SUMIFS(schedule[Equipment CPP], schedule[Start Date],"&lt;="&amp;day_cash_behind[[#This Row],[Date]]-$E$2, schedule[Finish Date],"&gt;="&amp;day_cash_behind[[#This Row],[Date]]-$E$2)</f>
        <v>0</v>
      </c>
      <c r="F6" s="4">
        <f>SUMIFS(schedule[Sub CPP], schedule[Start Date],"&lt;="&amp;day_cash_behind[[#This Row],[Date]]-$F$2, schedule[Finish Date],"&gt;="&amp;day_cash_behind[[#This Row],[Date]]-$F$2)</f>
        <v>0</v>
      </c>
      <c r="G6" s="3">
        <f>SUMIFS(schedule[Other CPP], schedule[Start Date],"&lt;="&amp;day_cash_behind[[#This Row],[Date]]-$G$2, schedule[Finish Date],"&gt;="&amp;day_cash_behind[[#This Row],[Date]]-$G$2)</f>
        <v>0</v>
      </c>
      <c r="H6" s="3">
        <f>SUM(day_cash_behind[[#This Row],[Labor Cost]:[Other Cost]])</f>
        <v>0</v>
      </c>
      <c r="I6" s="3">
        <f>SUMIFS(schedule[Revenue per Day], schedule[Start Date],"&lt;="&amp;day_cash_behind[[#This Row],[Date]]-$I$2, schedule[Finish Date],"&gt;="&amp;day_cash_behind[[#This Row],[Date]]-$I$2)</f>
        <v>0</v>
      </c>
      <c r="J6" s="3">
        <f>SUM(day_cash_behind[[#Headers],[Labor Cost]]:day_cash_behind[[#This Row],[Labor Cost]])</f>
        <v>0</v>
      </c>
      <c r="K6" s="3">
        <f>SUM(day_cash_behind[[#Headers],[Material Cost]]:day_cash_behind[[#This Row],[Material Cost]])</f>
        <v>0</v>
      </c>
      <c r="L6" s="3">
        <f>SUM(day_cash_behind[[#Headers],[Equipment Cost]]:day_cash_behind[[#This Row],[Equipment Cost]])</f>
        <v>0</v>
      </c>
      <c r="M6" s="3">
        <f>SUM(day_cash_behind[[#Headers],[Sub Cost]]:day_cash_behind[[#This Row],[Sub Cost]])</f>
        <v>0</v>
      </c>
      <c r="N6" s="3">
        <f>SUM(day_cash_behind[[#Headers],[Other Cost]]:day_cash_behind[[#This Row],[Other Cost]])</f>
        <v>0</v>
      </c>
      <c r="O6" s="3">
        <f>SUM(day_cash_behind[[#This Row],[Cumulative Labor]:[Cumulative Other]])</f>
        <v>0</v>
      </c>
      <c r="P6" s="3">
        <f>SUM(day_cash_behind[[#Headers],[Revenue]]:day_cash_behind[[#This Row],[Revenue]])</f>
        <v>0</v>
      </c>
    </row>
    <row r="7" spans="2:16" x14ac:dyDescent="0.45">
      <c r="B7" s="1">
        <v>46390</v>
      </c>
      <c r="C7" s="4">
        <f>SUMIFS(schedule[Labor CPP], schedule[Start Date],"&lt;="&amp;day_cash_behind[[#This Row],[Date]], schedule[Finish Date],"&gt;="&amp;day_cash_behind[[#This Row],[Date]])</f>
        <v>0</v>
      </c>
      <c r="D7" s="4">
        <f>SUMIFS(schedule[Material CPP], schedule[Start Date],"&lt;="&amp;day_cash_behind[[#This Row],[Date]]-$D$2, schedule[Finish Date],"&gt;="&amp;day_cash_behind[[#This Row],[Date]]-$D$2)</f>
        <v>0</v>
      </c>
      <c r="E7" s="4">
        <f>SUMIFS(schedule[Equipment CPP], schedule[Start Date],"&lt;="&amp;day_cash_behind[[#This Row],[Date]]-$E$2, schedule[Finish Date],"&gt;="&amp;day_cash_behind[[#This Row],[Date]]-$E$2)</f>
        <v>0</v>
      </c>
      <c r="F7" s="4">
        <f>SUMIFS(schedule[Sub CPP], schedule[Start Date],"&lt;="&amp;day_cash_behind[[#This Row],[Date]]-$F$2, schedule[Finish Date],"&gt;="&amp;day_cash_behind[[#This Row],[Date]]-$F$2)</f>
        <v>0</v>
      </c>
      <c r="G7" s="3">
        <f>SUMIFS(schedule[Other CPP], schedule[Start Date],"&lt;="&amp;day_cash_behind[[#This Row],[Date]]-$G$2, schedule[Finish Date],"&gt;="&amp;day_cash_behind[[#This Row],[Date]]-$G$2)</f>
        <v>0</v>
      </c>
      <c r="H7" s="3">
        <f>SUM(day_cash_behind[[#This Row],[Labor Cost]:[Other Cost]])</f>
        <v>0</v>
      </c>
      <c r="I7" s="3">
        <f>SUMIFS(schedule[Revenue per Day], schedule[Start Date],"&lt;="&amp;day_cash_behind[[#This Row],[Date]]-$I$2, schedule[Finish Date],"&gt;="&amp;day_cash_behind[[#This Row],[Date]]-$I$2)</f>
        <v>0</v>
      </c>
      <c r="J7" s="3">
        <f>SUM(day_cash_behind[[#Headers],[Labor Cost]]:day_cash_behind[[#This Row],[Labor Cost]])</f>
        <v>0</v>
      </c>
      <c r="K7" s="3">
        <f>SUM(day_cash_behind[[#Headers],[Material Cost]]:day_cash_behind[[#This Row],[Material Cost]])</f>
        <v>0</v>
      </c>
      <c r="L7" s="3">
        <f>SUM(day_cash_behind[[#Headers],[Equipment Cost]]:day_cash_behind[[#This Row],[Equipment Cost]])</f>
        <v>0</v>
      </c>
      <c r="M7" s="3">
        <f>SUM(day_cash_behind[[#Headers],[Sub Cost]]:day_cash_behind[[#This Row],[Sub Cost]])</f>
        <v>0</v>
      </c>
      <c r="N7" s="3">
        <f>SUM(day_cash_behind[[#Headers],[Other Cost]]:day_cash_behind[[#This Row],[Other Cost]])</f>
        <v>0</v>
      </c>
      <c r="O7" s="3">
        <f>SUM(day_cash_behind[[#This Row],[Cumulative Labor]:[Cumulative Other]])</f>
        <v>0</v>
      </c>
      <c r="P7" s="3">
        <f>SUM(day_cash_behind[[#Headers],[Revenue]]:day_cash_behind[[#This Row],[Revenue]])</f>
        <v>0</v>
      </c>
    </row>
    <row r="8" spans="2:16" x14ac:dyDescent="0.45">
      <c r="B8" s="1">
        <v>46391</v>
      </c>
      <c r="C8" s="4">
        <f>SUMIFS(schedule[Labor CPP], schedule[Start Date],"&lt;="&amp;day_cash_behind[[#This Row],[Date]], schedule[Finish Date],"&gt;="&amp;day_cash_behind[[#This Row],[Date]])</f>
        <v>943.39622641509436</v>
      </c>
      <c r="D8" s="4">
        <f>SUMIFS(schedule[Material CPP], schedule[Start Date],"&lt;="&amp;day_cash_behind[[#This Row],[Date]]-$D$2, schedule[Finish Date],"&gt;="&amp;day_cash_behind[[#This Row],[Date]]-$D$2)</f>
        <v>0</v>
      </c>
      <c r="E8" s="4">
        <f>SUMIFS(schedule[Equipment CPP], schedule[Start Date],"&lt;="&amp;day_cash_behind[[#This Row],[Date]]-$E$2, schedule[Finish Date],"&gt;="&amp;day_cash_behind[[#This Row],[Date]]-$E$2)</f>
        <v>0</v>
      </c>
      <c r="F8" s="4">
        <f>SUMIFS(schedule[Sub CPP], schedule[Start Date],"&lt;="&amp;day_cash_behind[[#This Row],[Date]]-$F$2, schedule[Finish Date],"&gt;="&amp;day_cash_behind[[#This Row],[Date]]-$F$2)</f>
        <v>0</v>
      </c>
      <c r="G8" s="3">
        <f>SUMIFS(schedule[Other CPP], schedule[Start Date],"&lt;="&amp;day_cash_behind[[#This Row],[Date]]-$G$2, schedule[Finish Date],"&gt;="&amp;day_cash_behind[[#This Row],[Date]]-$G$2)</f>
        <v>0</v>
      </c>
      <c r="H8" s="3">
        <f>SUM(day_cash_behind[[#This Row],[Labor Cost]:[Other Cost]])</f>
        <v>943.39622641509436</v>
      </c>
      <c r="I8" s="3">
        <f>SUMIFS(schedule[Revenue per Day], schedule[Start Date],"&lt;="&amp;day_cash_behind[[#This Row],[Date]]-$I$2, schedule[Finish Date],"&gt;="&amp;day_cash_behind[[#This Row],[Date]]-$I$2)</f>
        <v>0</v>
      </c>
      <c r="J8" s="3">
        <f>SUM(day_cash_behind[[#Headers],[Labor Cost]]:day_cash_behind[[#This Row],[Labor Cost]])</f>
        <v>943.39622641509436</v>
      </c>
      <c r="K8" s="3">
        <f>SUM(day_cash_behind[[#Headers],[Material Cost]]:day_cash_behind[[#This Row],[Material Cost]])</f>
        <v>0</v>
      </c>
      <c r="L8" s="3">
        <f>SUM(day_cash_behind[[#Headers],[Equipment Cost]]:day_cash_behind[[#This Row],[Equipment Cost]])</f>
        <v>0</v>
      </c>
      <c r="M8" s="3">
        <f>SUM(day_cash_behind[[#Headers],[Sub Cost]]:day_cash_behind[[#This Row],[Sub Cost]])</f>
        <v>0</v>
      </c>
      <c r="N8" s="3">
        <f>SUM(day_cash_behind[[#Headers],[Other Cost]]:day_cash_behind[[#This Row],[Other Cost]])</f>
        <v>0</v>
      </c>
      <c r="O8" s="3">
        <f>SUM(day_cash_behind[[#This Row],[Cumulative Labor]:[Cumulative Other]])</f>
        <v>943.39622641509436</v>
      </c>
      <c r="P8" s="3">
        <f>SUM(day_cash_behind[[#Headers],[Revenue]]:day_cash_behind[[#This Row],[Revenue]])</f>
        <v>0</v>
      </c>
    </row>
    <row r="9" spans="2:16" x14ac:dyDescent="0.45">
      <c r="B9" s="1">
        <v>46392</v>
      </c>
      <c r="C9" s="4">
        <f>SUMIFS(schedule[Labor CPP], schedule[Start Date],"&lt;="&amp;day_cash_behind[[#This Row],[Date]], schedule[Finish Date],"&gt;="&amp;day_cash_behind[[#This Row],[Date]])</f>
        <v>943.39622641509436</v>
      </c>
      <c r="D9" s="4">
        <f>SUMIFS(schedule[Material CPP], schedule[Start Date],"&lt;="&amp;day_cash_behind[[#This Row],[Date]]-$D$2, schedule[Finish Date],"&gt;="&amp;day_cash_behind[[#This Row],[Date]]-$D$2)</f>
        <v>0</v>
      </c>
      <c r="E9" s="4">
        <f>SUMIFS(schedule[Equipment CPP], schedule[Start Date],"&lt;="&amp;day_cash_behind[[#This Row],[Date]]-$E$2, schedule[Finish Date],"&gt;="&amp;day_cash_behind[[#This Row],[Date]]-$E$2)</f>
        <v>0</v>
      </c>
      <c r="F9" s="4">
        <f>SUMIFS(schedule[Sub CPP], schedule[Start Date],"&lt;="&amp;day_cash_behind[[#This Row],[Date]]-$F$2, schedule[Finish Date],"&gt;="&amp;day_cash_behind[[#This Row],[Date]]-$F$2)</f>
        <v>0</v>
      </c>
      <c r="G9" s="3">
        <f>SUMIFS(schedule[Other CPP], schedule[Start Date],"&lt;="&amp;day_cash_behind[[#This Row],[Date]]-$G$2, schedule[Finish Date],"&gt;="&amp;day_cash_behind[[#This Row],[Date]]-$G$2)</f>
        <v>0</v>
      </c>
      <c r="H9" s="3">
        <f>SUM(day_cash_behind[[#This Row],[Labor Cost]:[Other Cost]])</f>
        <v>943.39622641509436</v>
      </c>
      <c r="I9" s="3">
        <f>SUMIFS(schedule[Revenue per Day], schedule[Start Date],"&lt;="&amp;day_cash_behind[[#This Row],[Date]]-$I$2, schedule[Finish Date],"&gt;="&amp;day_cash_behind[[#This Row],[Date]]-$I$2)</f>
        <v>0</v>
      </c>
      <c r="J9" s="3">
        <f>SUM(day_cash_behind[[#Headers],[Labor Cost]]:day_cash_behind[[#This Row],[Labor Cost]])</f>
        <v>1886.7924528301887</v>
      </c>
      <c r="K9" s="3">
        <f>SUM(day_cash_behind[[#Headers],[Material Cost]]:day_cash_behind[[#This Row],[Material Cost]])</f>
        <v>0</v>
      </c>
      <c r="L9" s="3">
        <f>SUM(day_cash_behind[[#Headers],[Equipment Cost]]:day_cash_behind[[#This Row],[Equipment Cost]])</f>
        <v>0</v>
      </c>
      <c r="M9" s="3">
        <f>SUM(day_cash_behind[[#Headers],[Sub Cost]]:day_cash_behind[[#This Row],[Sub Cost]])</f>
        <v>0</v>
      </c>
      <c r="N9" s="3">
        <f>SUM(day_cash_behind[[#Headers],[Other Cost]]:day_cash_behind[[#This Row],[Other Cost]])</f>
        <v>0</v>
      </c>
      <c r="O9" s="3">
        <f>SUM(day_cash_behind[[#This Row],[Cumulative Labor]:[Cumulative Other]])</f>
        <v>1886.7924528301887</v>
      </c>
      <c r="P9" s="3">
        <f>SUM(day_cash_behind[[#Headers],[Revenue]]:day_cash_behind[[#This Row],[Revenue]])</f>
        <v>0</v>
      </c>
    </row>
    <row r="10" spans="2:16" x14ac:dyDescent="0.45">
      <c r="B10" s="1">
        <v>46393</v>
      </c>
      <c r="C10" s="4">
        <f>SUMIFS(schedule[Labor CPP], schedule[Start Date],"&lt;="&amp;day_cash_behind[[#This Row],[Date]], schedule[Finish Date],"&gt;="&amp;day_cash_behind[[#This Row],[Date]])</f>
        <v>943.39622641509436</v>
      </c>
      <c r="D10" s="4">
        <f>SUMIFS(schedule[Material CPP], schedule[Start Date],"&lt;="&amp;day_cash_behind[[#This Row],[Date]]-$D$2, schedule[Finish Date],"&gt;="&amp;day_cash_behind[[#This Row],[Date]]-$D$2)</f>
        <v>0</v>
      </c>
      <c r="E10" s="4">
        <f>SUMIFS(schedule[Equipment CPP], schedule[Start Date],"&lt;="&amp;day_cash_behind[[#This Row],[Date]]-$E$2, schedule[Finish Date],"&gt;="&amp;day_cash_behind[[#This Row],[Date]]-$E$2)</f>
        <v>0</v>
      </c>
      <c r="F10" s="4">
        <f>SUMIFS(schedule[Sub CPP], schedule[Start Date],"&lt;="&amp;day_cash_behind[[#This Row],[Date]]-$F$2, schedule[Finish Date],"&gt;="&amp;day_cash_behind[[#This Row],[Date]]-$F$2)</f>
        <v>0</v>
      </c>
      <c r="G10" s="3">
        <f>SUMIFS(schedule[Other CPP], schedule[Start Date],"&lt;="&amp;day_cash_behind[[#This Row],[Date]]-$G$2, schedule[Finish Date],"&gt;="&amp;day_cash_behind[[#This Row],[Date]]-$G$2)</f>
        <v>0</v>
      </c>
      <c r="H10" s="3">
        <f>SUM(day_cash_behind[[#This Row],[Labor Cost]:[Other Cost]])</f>
        <v>943.39622641509436</v>
      </c>
      <c r="I10" s="3">
        <f>SUMIFS(schedule[Revenue per Day], schedule[Start Date],"&lt;="&amp;day_cash_behind[[#This Row],[Date]]-$I$2, schedule[Finish Date],"&gt;="&amp;day_cash_behind[[#This Row],[Date]]-$I$2)</f>
        <v>0</v>
      </c>
      <c r="J10" s="3">
        <f>SUM(day_cash_behind[[#Headers],[Labor Cost]]:day_cash_behind[[#This Row],[Labor Cost]])</f>
        <v>2830.1886792452833</v>
      </c>
      <c r="K10" s="3">
        <f>SUM(day_cash_behind[[#Headers],[Material Cost]]:day_cash_behind[[#This Row],[Material Cost]])</f>
        <v>0</v>
      </c>
      <c r="L10" s="3">
        <f>SUM(day_cash_behind[[#Headers],[Equipment Cost]]:day_cash_behind[[#This Row],[Equipment Cost]])</f>
        <v>0</v>
      </c>
      <c r="M10" s="3">
        <f>SUM(day_cash_behind[[#Headers],[Sub Cost]]:day_cash_behind[[#This Row],[Sub Cost]])</f>
        <v>0</v>
      </c>
      <c r="N10" s="3">
        <f>SUM(day_cash_behind[[#Headers],[Other Cost]]:day_cash_behind[[#This Row],[Other Cost]])</f>
        <v>0</v>
      </c>
      <c r="O10" s="3">
        <f>SUM(day_cash_behind[[#This Row],[Cumulative Labor]:[Cumulative Other]])</f>
        <v>2830.1886792452833</v>
      </c>
      <c r="P10" s="3">
        <f>SUM(day_cash_behind[[#Headers],[Revenue]]:day_cash_behind[[#This Row],[Revenue]])</f>
        <v>0</v>
      </c>
    </row>
    <row r="11" spans="2:16" x14ac:dyDescent="0.45">
      <c r="B11" s="1">
        <v>46394</v>
      </c>
      <c r="C11" s="4">
        <f>SUMIFS(schedule[Labor CPP], schedule[Start Date],"&lt;="&amp;day_cash_behind[[#This Row],[Date]], schedule[Finish Date],"&gt;="&amp;day_cash_behind[[#This Row],[Date]])</f>
        <v>943.39622641509436</v>
      </c>
      <c r="D11" s="4">
        <f>SUMIFS(schedule[Material CPP], schedule[Start Date],"&lt;="&amp;day_cash_behind[[#This Row],[Date]]-$D$2, schedule[Finish Date],"&gt;="&amp;day_cash_behind[[#This Row],[Date]]-$D$2)</f>
        <v>0</v>
      </c>
      <c r="E11" s="4">
        <f>SUMIFS(schedule[Equipment CPP], schedule[Start Date],"&lt;="&amp;day_cash_behind[[#This Row],[Date]]-$E$2, schedule[Finish Date],"&gt;="&amp;day_cash_behind[[#This Row],[Date]]-$E$2)</f>
        <v>0</v>
      </c>
      <c r="F11" s="4">
        <f>SUMIFS(schedule[Sub CPP], schedule[Start Date],"&lt;="&amp;day_cash_behind[[#This Row],[Date]]-$F$2, schedule[Finish Date],"&gt;="&amp;day_cash_behind[[#This Row],[Date]]-$F$2)</f>
        <v>0</v>
      </c>
      <c r="G11" s="3">
        <f>SUMIFS(schedule[Other CPP], schedule[Start Date],"&lt;="&amp;day_cash_behind[[#This Row],[Date]]-$G$2, schedule[Finish Date],"&gt;="&amp;day_cash_behind[[#This Row],[Date]]-$G$2)</f>
        <v>0</v>
      </c>
      <c r="H11" s="3">
        <f>SUM(day_cash_behind[[#This Row],[Labor Cost]:[Other Cost]])</f>
        <v>943.39622641509436</v>
      </c>
      <c r="I11" s="3">
        <f>SUMIFS(schedule[Revenue per Day], schedule[Start Date],"&lt;="&amp;day_cash_behind[[#This Row],[Date]]-$I$2, schedule[Finish Date],"&gt;="&amp;day_cash_behind[[#This Row],[Date]]-$I$2)</f>
        <v>0</v>
      </c>
      <c r="J11" s="3">
        <f>SUM(day_cash_behind[[#Headers],[Labor Cost]]:day_cash_behind[[#This Row],[Labor Cost]])</f>
        <v>3773.5849056603774</v>
      </c>
      <c r="K11" s="3">
        <f>SUM(day_cash_behind[[#Headers],[Material Cost]]:day_cash_behind[[#This Row],[Material Cost]])</f>
        <v>0</v>
      </c>
      <c r="L11" s="3">
        <f>SUM(day_cash_behind[[#Headers],[Equipment Cost]]:day_cash_behind[[#This Row],[Equipment Cost]])</f>
        <v>0</v>
      </c>
      <c r="M11" s="3">
        <f>SUM(day_cash_behind[[#Headers],[Sub Cost]]:day_cash_behind[[#This Row],[Sub Cost]])</f>
        <v>0</v>
      </c>
      <c r="N11" s="3">
        <f>SUM(day_cash_behind[[#Headers],[Other Cost]]:day_cash_behind[[#This Row],[Other Cost]])</f>
        <v>0</v>
      </c>
      <c r="O11" s="3">
        <f>SUM(day_cash_behind[[#This Row],[Cumulative Labor]:[Cumulative Other]])</f>
        <v>3773.5849056603774</v>
      </c>
      <c r="P11" s="3">
        <f>SUM(day_cash_behind[[#Headers],[Revenue]]:day_cash_behind[[#This Row],[Revenue]])</f>
        <v>0</v>
      </c>
    </row>
    <row r="12" spans="2:16" x14ac:dyDescent="0.45">
      <c r="B12" s="1">
        <v>46395</v>
      </c>
      <c r="C12" s="4">
        <f>SUMIFS(schedule[Labor CPP], schedule[Start Date],"&lt;="&amp;day_cash_behind[[#This Row],[Date]], schedule[Finish Date],"&gt;="&amp;day_cash_behind[[#This Row],[Date]])</f>
        <v>943.39622641509436</v>
      </c>
      <c r="D12" s="4">
        <f>SUMIFS(schedule[Material CPP], schedule[Start Date],"&lt;="&amp;day_cash_behind[[#This Row],[Date]]-$D$2, schedule[Finish Date],"&gt;="&amp;day_cash_behind[[#This Row],[Date]]-$D$2)</f>
        <v>0</v>
      </c>
      <c r="E12" s="4">
        <f>SUMIFS(schedule[Equipment CPP], schedule[Start Date],"&lt;="&amp;day_cash_behind[[#This Row],[Date]]-$E$2, schedule[Finish Date],"&gt;="&amp;day_cash_behind[[#This Row],[Date]]-$E$2)</f>
        <v>0</v>
      </c>
      <c r="F12" s="4">
        <f>SUMIFS(schedule[Sub CPP], schedule[Start Date],"&lt;="&amp;day_cash_behind[[#This Row],[Date]]-$F$2, schedule[Finish Date],"&gt;="&amp;day_cash_behind[[#This Row],[Date]]-$F$2)</f>
        <v>0</v>
      </c>
      <c r="G12" s="3">
        <f>SUMIFS(schedule[Other CPP], schedule[Start Date],"&lt;="&amp;day_cash_behind[[#This Row],[Date]]-$G$2, schedule[Finish Date],"&gt;="&amp;day_cash_behind[[#This Row],[Date]]-$G$2)</f>
        <v>0</v>
      </c>
      <c r="H12" s="3">
        <f>SUM(day_cash_behind[[#This Row],[Labor Cost]:[Other Cost]])</f>
        <v>943.39622641509436</v>
      </c>
      <c r="I12" s="3">
        <f>SUMIFS(schedule[Revenue per Day], schedule[Start Date],"&lt;="&amp;day_cash_behind[[#This Row],[Date]]-$I$2, schedule[Finish Date],"&gt;="&amp;day_cash_behind[[#This Row],[Date]]-$I$2)</f>
        <v>0</v>
      </c>
      <c r="J12" s="3">
        <f>SUM(day_cash_behind[[#Headers],[Labor Cost]]:day_cash_behind[[#This Row],[Labor Cost]])</f>
        <v>4716.9811320754716</v>
      </c>
      <c r="K12" s="3">
        <f>SUM(day_cash_behind[[#Headers],[Material Cost]]:day_cash_behind[[#This Row],[Material Cost]])</f>
        <v>0</v>
      </c>
      <c r="L12" s="3">
        <f>SUM(day_cash_behind[[#Headers],[Equipment Cost]]:day_cash_behind[[#This Row],[Equipment Cost]])</f>
        <v>0</v>
      </c>
      <c r="M12" s="3">
        <f>SUM(day_cash_behind[[#Headers],[Sub Cost]]:day_cash_behind[[#This Row],[Sub Cost]])</f>
        <v>0</v>
      </c>
      <c r="N12" s="3">
        <f>SUM(day_cash_behind[[#Headers],[Other Cost]]:day_cash_behind[[#This Row],[Other Cost]])</f>
        <v>0</v>
      </c>
      <c r="O12" s="3">
        <f>SUM(day_cash_behind[[#This Row],[Cumulative Labor]:[Cumulative Other]])</f>
        <v>4716.9811320754716</v>
      </c>
      <c r="P12" s="3">
        <f>SUM(day_cash_behind[[#Headers],[Revenue]]:day_cash_behind[[#This Row],[Revenue]])</f>
        <v>0</v>
      </c>
    </row>
    <row r="13" spans="2:16" x14ac:dyDescent="0.45">
      <c r="B13" s="1">
        <v>46396</v>
      </c>
      <c r="C13" s="4">
        <f>SUMIFS(schedule[Labor CPP], schedule[Start Date],"&lt;="&amp;day_cash_behind[[#This Row],[Date]], schedule[Finish Date],"&gt;="&amp;day_cash_behind[[#This Row],[Date]])</f>
        <v>943.39622641509436</v>
      </c>
      <c r="D13" s="4">
        <f>SUMIFS(schedule[Material CPP], schedule[Start Date],"&lt;="&amp;day_cash_behind[[#This Row],[Date]]-$D$2, schedule[Finish Date],"&gt;="&amp;day_cash_behind[[#This Row],[Date]]-$D$2)</f>
        <v>0</v>
      </c>
      <c r="E13" s="4">
        <f>SUMIFS(schedule[Equipment CPP], schedule[Start Date],"&lt;="&amp;day_cash_behind[[#This Row],[Date]]-$E$2, schedule[Finish Date],"&gt;="&amp;day_cash_behind[[#This Row],[Date]]-$E$2)</f>
        <v>0</v>
      </c>
      <c r="F13" s="4">
        <f>SUMIFS(schedule[Sub CPP], schedule[Start Date],"&lt;="&amp;day_cash_behind[[#This Row],[Date]]-$F$2, schedule[Finish Date],"&gt;="&amp;day_cash_behind[[#This Row],[Date]]-$F$2)</f>
        <v>0</v>
      </c>
      <c r="G13" s="3">
        <f>SUMIFS(schedule[Other CPP], schedule[Start Date],"&lt;="&amp;day_cash_behind[[#This Row],[Date]]-$G$2, schedule[Finish Date],"&gt;="&amp;day_cash_behind[[#This Row],[Date]]-$G$2)</f>
        <v>0</v>
      </c>
      <c r="H13" s="3">
        <f>SUM(day_cash_behind[[#This Row],[Labor Cost]:[Other Cost]])</f>
        <v>943.39622641509436</v>
      </c>
      <c r="I13" s="3">
        <f>SUMIFS(schedule[Revenue per Day], schedule[Start Date],"&lt;="&amp;day_cash_behind[[#This Row],[Date]]-$I$2, schedule[Finish Date],"&gt;="&amp;day_cash_behind[[#This Row],[Date]]-$I$2)</f>
        <v>0</v>
      </c>
      <c r="J13" s="3">
        <f>SUM(day_cash_behind[[#Headers],[Labor Cost]]:day_cash_behind[[#This Row],[Labor Cost]])</f>
        <v>5660.3773584905657</v>
      </c>
      <c r="K13" s="3">
        <f>SUM(day_cash_behind[[#Headers],[Material Cost]]:day_cash_behind[[#This Row],[Material Cost]])</f>
        <v>0</v>
      </c>
      <c r="L13" s="3">
        <f>SUM(day_cash_behind[[#Headers],[Equipment Cost]]:day_cash_behind[[#This Row],[Equipment Cost]])</f>
        <v>0</v>
      </c>
      <c r="M13" s="3">
        <f>SUM(day_cash_behind[[#Headers],[Sub Cost]]:day_cash_behind[[#This Row],[Sub Cost]])</f>
        <v>0</v>
      </c>
      <c r="N13" s="3">
        <f>SUM(day_cash_behind[[#Headers],[Other Cost]]:day_cash_behind[[#This Row],[Other Cost]])</f>
        <v>0</v>
      </c>
      <c r="O13" s="3">
        <f>SUM(day_cash_behind[[#This Row],[Cumulative Labor]:[Cumulative Other]])</f>
        <v>5660.3773584905657</v>
      </c>
      <c r="P13" s="3">
        <f>SUM(day_cash_behind[[#Headers],[Revenue]]:day_cash_behind[[#This Row],[Revenue]])</f>
        <v>0</v>
      </c>
    </row>
    <row r="14" spans="2:16" x14ac:dyDescent="0.45">
      <c r="B14" s="1">
        <v>46397</v>
      </c>
      <c r="C14" s="4">
        <f>SUMIFS(schedule[Labor CPP], schedule[Start Date],"&lt;="&amp;day_cash_behind[[#This Row],[Date]], schedule[Finish Date],"&gt;="&amp;day_cash_behind[[#This Row],[Date]])</f>
        <v>943.39622641509436</v>
      </c>
      <c r="D14" s="4">
        <f>SUMIFS(schedule[Material CPP], schedule[Start Date],"&lt;="&amp;day_cash_behind[[#This Row],[Date]]-$D$2, schedule[Finish Date],"&gt;="&amp;day_cash_behind[[#This Row],[Date]]-$D$2)</f>
        <v>0</v>
      </c>
      <c r="E14" s="4">
        <f>SUMIFS(schedule[Equipment CPP], schedule[Start Date],"&lt;="&amp;day_cash_behind[[#This Row],[Date]]-$E$2, schedule[Finish Date],"&gt;="&amp;day_cash_behind[[#This Row],[Date]]-$E$2)</f>
        <v>0</v>
      </c>
      <c r="F14" s="4">
        <f>SUMIFS(schedule[Sub CPP], schedule[Start Date],"&lt;="&amp;day_cash_behind[[#This Row],[Date]]-$F$2, schedule[Finish Date],"&gt;="&amp;day_cash_behind[[#This Row],[Date]]-$F$2)</f>
        <v>0</v>
      </c>
      <c r="G14" s="3">
        <f>SUMIFS(schedule[Other CPP], schedule[Start Date],"&lt;="&amp;day_cash_behind[[#This Row],[Date]]-$G$2, schedule[Finish Date],"&gt;="&amp;day_cash_behind[[#This Row],[Date]]-$G$2)</f>
        <v>0</v>
      </c>
      <c r="H14" s="3">
        <f>SUM(day_cash_behind[[#This Row],[Labor Cost]:[Other Cost]])</f>
        <v>943.39622641509436</v>
      </c>
      <c r="I14" s="3">
        <f>SUMIFS(schedule[Revenue per Day], schedule[Start Date],"&lt;="&amp;day_cash_behind[[#This Row],[Date]]-$I$2, schedule[Finish Date],"&gt;="&amp;day_cash_behind[[#This Row],[Date]]-$I$2)</f>
        <v>0</v>
      </c>
      <c r="J14" s="3">
        <f>SUM(day_cash_behind[[#Headers],[Labor Cost]]:day_cash_behind[[#This Row],[Labor Cost]])</f>
        <v>6603.7735849056598</v>
      </c>
      <c r="K14" s="3">
        <f>SUM(day_cash_behind[[#Headers],[Material Cost]]:day_cash_behind[[#This Row],[Material Cost]])</f>
        <v>0</v>
      </c>
      <c r="L14" s="3">
        <f>SUM(day_cash_behind[[#Headers],[Equipment Cost]]:day_cash_behind[[#This Row],[Equipment Cost]])</f>
        <v>0</v>
      </c>
      <c r="M14" s="3">
        <f>SUM(day_cash_behind[[#Headers],[Sub Cost]]:day_cash_behind[[#This Row],[Sub Cost]])</f>
        <v>0</v>
      </c>
      <c r="N14" s="3">
        <f>SUM(day_cash_behind[[#Headers],[Other Cost]]:day_cash_behind[[#This Row],[Other Cost]])</f>
        <v>0</v>
      </c>
      <c r="O14" s="3">
        <f>SUM(day_cash_behind[[#This Row],[Cumulative Labor]:[Cumulative Other]])</f>
        <v>6603.7735849056598</v>
      </c>
      <c r="P14" s="3">
        <f>SUM(day_cash_behind[[#Headers],[Revenue]]:day_cash_behind[[#This Row],[Revenue]])</f>
        <v>0</v>
      </c>
    </row>
    <row r="15" spans="2:16" x14ac:dyDescent="0.45">
      <c r="B15" s="1">
        <v>46398</v>
      </c>
      <c r="C15" s="4">
        <f>SUMIFS(schedule[Labor CPP], schedule[Start Date],"&lt;="&amp;day_cash_behind[[#This Row],[Date]], schedule[Finish Date],"&gt;="&amp;day_cash_behind[[#This Row],[Date]])</f>
        <v>943.39622641509436</v>
      </c>
      <c r="D15" s="4">
        <f>SUMIFS(schedule[Material CPP], schedule[Start Date],"&lt;="&amp;day_cash_behind[[#This Row],[Date]]-$D$2, schedule[Finish Date],"&gt;="&amp;day_cash_behind[[#This Row],[Date]]-$D$2)</f>
        <v>0</v>
      </c>
      <c r="E15" s="4">
        <f>SUMIFS(schedule[Equipment CPP], schedule[Start Date],"&lt;="&amp;day_cash_behind[[#This Row],[Date]]-$E$2, schedule[Finish Date],"&gt;="&amp;day_cash_behind[[#This Row],[Date]]-$E$2)</f>
        <v>0</v>
      </c>
      <c r="F15" s="4">
        <f>SUMIFS(schedule[Sub CPP], schedule[Start Date],"&lt;="&amp;day_cash_behind[[#This Row],[Date]]-$F$2, schedule[Finish Date],"&gt;="&amp;day_cash_behind[[#This Row],[Date]]-$F$2)</f>
        <v>0</v>
      </c>
      <c r="G15" s="3">
        <f>SUMIFS(schedule[Other CPP], schedule[Start Date],"&lt;="&amp;day_cash_behind[[#This Row],[Date]]-$G$2, schedule[Finish Date],"&gt;="&amp;day_cash_behind[[#This Row],[Date]]-$G$2)</f>
        <v>0</v>
      </c>
      <c r="H15" s="3">
        <f>SUM(day_cash_behind[[#This Row],[Labor Cost]:[Other Cost]])</f>
        <v>943.39622641509436</v>
      </c>
      <c r="I15" s="3">
        <f>SUMIFS(schedule[Revenue per Day], schedule[Start Date],"&lt;="&amp;day_cash_behind[[#This Row],[Date]]-$I$2, schedule[Finish Date],"&gt;="&amp;day_cash_behind[[#This Row],[Date]]-$I$2)</f>
        <v>0</v>
      </c>
      <c r="J15" s="3">
        <f>SUM(day_cash_behind[[#Headers],[Labor Cost]]:day_cash_behind[[#This Row],[Labor Cost]])</f>
        <v>7547.169811320754</v>
      </c>
      <c r="K15" s="3">
        <f>SUM(day_cash_behind[[#Headers],[Material Cost]]:day_cash_behind[[#This Row],[Material Cost]])</f>
        <v>0</v>
      </c>
      <c r="L15" s="3">
        <f>SUM(day_cash_behind[[#Headers],[Equipment Cost]]:day_cash_behind[[#This Row],[Equipment Cost]])</f>
        <v>0</v>
      </c>
      <c r="M15" s="3">
        <f>SUM(day_cash_behind[[#Headers],[Sub Cost]]:day_cash_behind[[#This Row],[Sub Cost]])</f>
        <v>0</v>
      </c>
      <c r="N15" s="3">
        <f>SUM(day_cash_behind[[#Headers],[Other Cost]]:day_cash_behind[[#This Row],[Other Cost]])</f>
        <v>0</v>
      </c>
      <c r="O15" s="3">
        <f>SUM(day_cash_behind[[#This Row],[Cumulative Labor]:[Cumulative Other]])</f>
        <v>7547.169811320754</v>
      </c>
      <c r="P15" s="3">
        <f>SUM(day_cash_behind[[#Headers],[Revenue]]:day_cash_behind[[#This Row],[Revenue]])</f>
        <v>0</v>
      </c>
    </row>
    <row r="16" spans="2:16" x14ac:dyDescent="0.45">
      <c r="B16" s="1">
        <v>46399</v>
      </c>
      <c r="C16" s="4">
        <f>SUMIFS(schedule[Labor CPP], schedule[Start Date],"&lt;="&amp;day_cash_behind[[#This Row],[Date]], schedule[Finish Date],"&gt;="&amp;day_cash_behind[[#This Row],[Date]])</f>
        <v>1867.3092698933551</v>
      </c>
      <c r="D16" s="4">
        <f>SUMIFS(schedule[Material CPP], schedule[Start Date],"&lt;="&amp;day_cash_behind[[#This Row],[Date]]-$D$2, schedule[Finish Date],"&gt;="&amp;day_cash_behind[[#This Row],[Date]]-$D$2)</f>
        <v>0</v>
      </c>
      <c r="E16" s="4">
        <f>SUMIFS(schedule[Equipment CPP], schedule[Start Date],"&lt;="&amp;day_cash_behind[[#This Row],[Date]]-$E$2, schedule[Finish Date],"&gt;="&amp;day_cash_behind[[#This Row],[Date]]-$E$2)</f>
        <v>0</v>
      </c>
      <c r="F16" s="4">
        <f>SUMIFS(schedule[Sub CPP], schedule[Start Date],"&lt;="&amp;day_cash_behind[[#This Row],[Date]]-$F$2, schedule[Finish Date],"&gt;="&amp;day_cash_behind[[#This Row],[Date]]-$F$2)</f>
        <v>0</v>
      </c>
      <c r="G16" s="3">
        <f>SUMIFS(schedule[Other CPP], schedule[Start Date],"&lt;="&amp;day_cash_behind[[#This Row],[Date]]-$G$2, schedule[Finish Date],"&gt;="&amp;day_cash_behind[[#This Row],[Date]]-$G$2)</f>
        <v>0</v>
      </c>
      <c r="H16" s="3">
        <f>SUM(day_cash_behind[[#This Row],[Labor Cost]:[Other Cost]])</f>
        <v>1867.3092698933551</v>
      </c>
      <c r="I16" s="3">
        <f>SUMIFS(schedule[Revenue per Day], schedule[Start Date],"&lt;="&amp;day_cash_behind[[#This Row],[Date]]-$I$2, schedule[Finish Date],"&gt;="&amp;day_cash_behind[[#This Row],[Date]]-$I$2)</f>
        <v>0</v>
      </c>
      <c r="J16" s="3">
        <f>SUM(day_cash_behind[[#Headers],[Labor Cost]]:day_cash_behind[[#This Row],[Labor Cost]])</f>
        <v>9414.4790812141091</v>
      </c>
      <c r="K16" s="3">
        <f>SUM(day_cash_behind[[#Headers],[Material Cost]]:day_cash_behind[[#This Row],[Material Cost]])</f>
        <v>0</v>
      </c>
      <c r="L16" s="3">
        <f>SUM(day_cash_behind[[#Headers],[Equipment Cost]]:day_cash_behind[[#This Row],[Equipment Cost]])</f>
        <v>0</v>
      </c>
      <c r="M16" s="3">
        <f>SUM(day_cash_behind[[#Headers],[Sub Cost]]:day_cash_behind[[#This Row],[Sub Cost]])</f>
        <v>0</v>
      </c>
      <c r="N16" s="3">
        <f>SUM(day_cash_behind[[#Headers],[Other Cost]]:day_cash_behind[[#This Row],[Other Cost]])</f>
        <v>0</v>
      </c>
      <c r="O16" s="3">
        <f>SUM(day_cash_behind[[#This Row],[Cumulative Labor]:[Cumulative Other]])</f>
        <v>9414.4790812141091</v>
      </c>
      <c r="P16" s="3">
        <f>SUM(day_cash_behind[[#Headers],[Revenue]]:day_cash_behind[[#This Row],[Revenue]])</f>
        <v>0</v>
      </c>
    </row>
    <row r="17" spans="2:16" x14ac:dyDescent="0.45">
      <c r="B17" s="1">
        <v>46400</v>
      </c>
      <c r="C17" s="4">
        <f>SUMIFS(schedule[Labor CPP], schedule[Start Date],"&lt;="&amp;day_cash_behind[[#This Row],[Date]], schedule[Finish Date],"&gt;="&amp;day_cash_behind[[#This Row],[Date]])</f>
        <v>1867.3092698933551</v>
      </c>
      <c r="D17" s="4">
        <f>SUMIFS(schedule[Material CPP], schedule[Start Date],"&lt;="&amp;day_cash_behind[[#This Row],[Date]]-$D$2, schedule[Finish Date],"&gt;="&amp;day_cash_behind[[#This Row],[Date]]-$D$2)</f>
        <v>0</v>
      </c>
      <c r="E17" s="4">
        <f>SUMIFS(schedule[Equipment CPP], schedule[Start Date],"&lt;="&amp;day_cash_behind[[#This Row],[Date]]-$E$2, schedule[Finish Date],"&gt;="&amp;day_cash_behind[[#This Row],[Date]]-$E$2)</f>
        <v>0</v>
      </c>
      <c r="F17" s="4">
        <f>SUMIFS(schedule[Sub CPP], schedule[Start Date],"&lt;="&amp;day_cash_behind[[#This Row],[Date]]-$F$2, schedule[Finish Date],"&gt;="&amp;day_cash_behind[[#This Row],[Date]]-$F$2)</f>
        <v>0</v>
      </c>
      <c r="G17" s="3">
        <f>SUMIFS(schedule[Other CPP], schedule[Start Date],"&lt;="&amp;day_cash_behind[[#This Row],[Date]]-$G$2, schedule[Finish Date],"&gt;="&amp;day_cash_behind[[#This Row],[Date]]-$G$2)</f>
        <v>0</v>
      </c>
      <c r="H17" s="3">
        <f>SUM(day_cash_behind[[#This Row],[Labor Cost]:[Other Cost]])</f>
        <v>1867.3092698933551</v>
      </c>
      <c r="I17" s="3">
        <f>SUMIFS(schedule[Revenue per Day], schedule[Start Date],"&lt;="&amp;day_cash_behind[[#This Row],[Date]]-$I$2, schedule[Finish Date],"&gt;="&amp;day_cash_behind[[#This Row],[Date]]-$I$2)</f>
        <v>0</v>
      </c>
      <c r="J17" s="3">
        <f>SUM(day_cash_behind[[#Headers],[Labor Cost]]:day_cash_behind[[#This Row],[Labor Cost]])</f>
        <v>11281.788351107465</v>
      </c>
      <c r="K17" s="3">
        <f>SUM(day_cash_behind[[#Headers],[Material Cost]]:day_cash_behind[[#This Row],[Material Cost]])</f>
        <v>0</v>
      </c>
      <c r="L17" s="3">
        <f>SUM(day_cash_behind[[#Headers],[Equipment Cost]]:day_cash_behind[[#This Row],[Equipment Cost]])</f>
        <v>0</v>
      </c>
      <c r="M17" s="3">
        <f>SUM(day_cash_behind[[#Headers],[Sub Cost]]:day_cash_behind[[#This Row],[Sub Cost]])</f>
        <v>0</v>
      </c>
      <c r="N17" s="3">
        <f>SUM(day_cash_behind[[#Headers],[Other Cost]]:day_cash_behind[[#This Row],[Other Cost]])</f>
        <v>0</v>
      </c>
      <c r="O17" s="3">
        <f>SUM(day_cash_behind[[#This Row],[Cumulative Labor]:[Cumulative Other]])</f>
        <v>11281.788351107465</v>
      </c>
      <c r="P17" s="3">
        <f>SUM(day_cash_behind[[#Headers],[Revenue]]:day_cash_behind[[#This Row],[Revenue]])</f>
        <v>0</v>
      </c>
    </row>
    <row r="18" spans="2:16" x14ac:dyDescent="0.45">
      <c r="B18" s="1">
        <v>46401</v>
      </c>
      <c r="C18" s="4">
        <f>SUMIFS(schedule[Labor CPP], schedule[Start Date],"&lt;="&amp;day_cash_behind[[#This Row],[Date]], schedule[Finish Date],"&gt;="&amp;day_cash_behind[[#This Row],[Date]])</f>
        <v>1867.3092698933551</v>
      </c>
      <c r="D18" s="4">
        <f>SUMIFS(schedule[Material CPP], schedule[Start Date],"&lt;="&amp;day_cash_behind[[#This Row],[Date]]-$D$2, schedule[Finish Date],"&gt;="&amp;day_cash_behind[[#This Row],[Date]]-$D$2)</f>
        <v>0</v>
      </c>
      <c r="E18" s="4">
        <f>SUMIFS(schedule[Equipment CPP], schedule[Start Date],"&lt;="&amp;day_cash_behind[[#This Row],[Date]]-$E$2, schedule[Finish Date],"&gt;="&amp;day_cash_behind[[#This Row],[Date]]-$E$2)</f>
        <v>0</v>
      </c>
      <c r="F18" s="4">
        <f>SUMIFS(schedule[Sub CPP], schedule[Start Date],"&lt;="&amp;day_cash_behind[[#This Row],[Date]]-$F$2, schedule[Finish Date],"&gt;="&amp;day_cash_behind[[#This Row],[Date]]-$F$2)</f>
        <v>0</v>
      </c>
      <c r="G18" s="3">
        <f>SUMIFS(schedule[Other CPP], schedule[Start Date],"&lt;="&amp;day_cash_behind[[#This Row],[Date]]-$G$2, schedule[Finish Date],"&gt;="&amp;day_cash_behind[[#This Row],[Date]]-$G$2)</f>
        <v>0</v>
      </c>
      <c r="H18" s="3">
        <f>SUM(day_cash_behind[[#This Row],[Labor Cost]:[Other Cost]])</f>
        <v>1867.3092698933551</v>
      </c>
      <c r="I18" s="3">
        <f>SUMIFS(schedule[Revenue per Day], schedule[Start Date],"&lt;="&amp;day_cash_behind[[#This Row],[Date]]-$I$2, schedule[Finish Date],"&gt;="&amp;day_cash_behind[[#This Row],[Date]]-$I$2)</f>
        <v>0</v>
      </c>
      <c r="J18" s="3">
        <f>SUM(day_cash_behind[[#Headers],[Labor Cost]]:day_cash_behind[[#This Row],[Labor Cost]])</f>
        <v>13149.097621000819</v>
      </c>
      <c r="K18" s="3">
        <f>SUM(day_cash_behind[[#Headers],[Material Cost]]:day_cash_behind[[#This Row],[Material Cost]])</f>
        <v>0</v>
      </c>
      <c r="L18" s="3">
        <f>SUM(day_cash_behind[[#Headers],[Equipment Cost]]:day_cash_behind[[#This Row],[Equipment Cost]])</f>
        <v>0</v>
      </c>
      <c r="M18" s="3">
        <f>SUM(day_cash_behind[[#Headers],[Sub Cost]]:day_cash_behind[[#This Row],[Sub Cost]])</f>
        <v>0</v>
      </c>
      <c r="N18" s="3">
        <f>SUM(day_cash_behind[[#Headers],[Other Cost]]:day_cash_behind[[#This Row],[Other Cost]])</f>
        <v>0</v>
      </c>
      <c r="O18" s="3">
        <f>SUM(day_cash_behind[[#This Row],[Cumulative Labor]:[Cumulative Other]])</f>
        <v>13149.097621000819</v>
      </c>
      <c r="P18" s="3">
        <f>SUM(day_cash_behind[[#Headers],[Revenue]]:day_cash_behind[[#This Row],[Revenue]])</f>
        <v>0</v>
      </c>
    </row>
    <row r="19" spans="2:16" x14ac:dyDescent="0.45">
      <c r="B19" s="1">
        <v>46402</v>
      </c>
      <c r="C19" s="4">
        <f>SUMIFS(schedule[Labor CPP], schedule[Start Date],"&lt;="&amp;day_cash_behind[[#This Row],[Date]], schedule[Finish Date],"&gt;="&amp;day_cash_behind[[#This Row],[Date]])</f>
        <v>1867.3092698933551</v>
      </c>
      <c r="D19" s="4">
        <f>SUMIFS(schedule[Material CPP], schedule[Start Date],"&lt;="&amp;day_cash_behind[[#This Row],[Date]]-$D$2, schedule[Finish Date],"&gt;="&amp;day_cash_behind[[#This Row],[Date]]-$D$2)</f>
        <v>0</v>
      </c>
      <c r="E19" s="4">
        <f>SUMIFS(schedule[Equipment CPP], schedule[Start Date],"&lt;="&amp;day_cash_behind[[#This Row],[Date]]-$E$2, schedule[Finish Date],"&gt;="&amp;day_cash_behind[[#This Row],[Date]]-$E$2)</f>
        <v>0</v>
      </c>
      <c r="F19" s="4">
        <f>SUMIFS(schedule[Sub CPP], schedule[Start Date],"&lt;="&amp;day_cash_behind[[#This Row],[Date]]-$F$2, schedule[Finish Date],"&gt;="&amp;day_cash_behind[[#This Row],[Date]]-$F$2)</f>
        <v>0</v>
      </c>
      <c r="G19" s="3">
        <f>SUMIFS(schedule[Other CPP], schedule[Start Date],"&lt;="&amp;day_cash_behind[[#This Row],[Date]]-$G$2, schedule[Finish Date],"&gt;="&amp;day_cash_behind[[#This Row],[Date]]-$G$2)</f>
        <v>0</v>
      </c>
      <c r="H19" s="3">
        <f>SUM(day_cash_behind[[#This Row],[Labor Cost]:[Other Cost]])</f>
        <v>1867.3092698933551</v>
      </c>
      <c r="I19" s="3">
        <f>SUMIFS(schedule[Revenue per Day], schedule[Start Date],"&lt;="&amp;day_cash_behind[[#This Row],[Date]]-$I$2, schedule[Finish Date],"&gt;="&amp;day_cash_behind[[#This Row],[Date]]-$I$2)</f>
        <v>0</v>
      </c>
      <c r="J19" s="3">
        <f>SUM(day_cash_behind[[#Headers],[Labor Cost]]:day_cash_behind[[#This Row],[Labor Cost]])</f>
        <v>15016.406890894174</v>
      </c>
      <c r="K19" s="3">
        <f>SUM(day_cash_behind[[#Headers],[Material Cost]]:day_cash_behind[[#This Row],[Material Cost]])</f>
        <v>0</v>
      </c>
      <c r="L19" s="3">
        <f>SUM(day_cash_behind[[#Headers],[Equipment Cost]]:day_cash_behind[[#This Row],[Equipment Cost]])</f>
        <v>0</v>
      </c>
      <c r="M19" s="3">
        <f>SUM(day_cash_behind[[#Headers],[Sub Cost]]:day_cash_behind[[#This Row],[Sub Cost]])</f>
        <v>0</v>
      </c>
      <c r="N19" s="3">
        <f>SUM(day_cash_behind[[#Headers],[Other Cost]]:day_cash_behind[[#This Row],[Other Cost]])</f>
        <v>0</v>
      </c>
      <c r="O19" s="3">
        <f>SUM(day_cash_behind[[#This Row],[Cumulative Labor]:[Cumulative Other]])</f>
        <v>15016.406890894174</v>
      </c>
      <c r="P19" s="3">
        <f>SUM(day_cash_behind[[#Headers],[Revenue]]:day_cash_behind[[#This Row],[Revenue]])</f>
        <v>0</v>
      </c>
    </row>
    <row r="20" spans="2:16" x14ac:dyDescent="0.45">
      <c r="B20" s="1">
        <v>46403</v>
      </c>
      <c r="C20" s="4">
        <f>SUMIFS(schedule[Labor CPP], schedule[Start Date],"&lt;="&amp;day_cash_behind[[#This Row],[Date]], schedule[Finish Date],"&gt;="&amp;day_cash_behind[[#This Row],[Date]])</f>
        <v>1867.3092698933551</v>
      </c>
      <c r="D20" s="4">
        <f>SUMIFS(schedule[Material CPP], schedule[Start Date],"&lt;="&amp;day_cash_behind[[#This Row],[Date]]-$D$2, schedule[Finish Date],"&gt;="&amp;day_cash_behind[[#This Row],[Date]]-$D$2)</f>
        <v>0</v>
      </c>
      <c r="E20" s="4">
        <f>SUMIFS(schedule[Equipment CPP], schedule[Start Date],"&lt;="&amp;day_cash_behind[[#This Row],[Date]]-$E$2, schedule[Finish Date],"&gt;="&amp;day_cash_behind[[#This Row],[Date]]-$E$2)</f>
        <v>0</v>
      </c>
      <c r="F20" s="4">
        <f>SUMIFS(schedule[Sub CPP], schedule[Start Date],"&lt;="&amp;day_cash_behind[[#This Row],[Date]]-$F$2, schedule[Finish Date],"&gt;="&amp;day_cash_behind[[#This Row],[Date]]-$F$2)</f>
        <v>0</v>
      </c>
      <c r="G20" s="3">
        <f>SUMIFS(schedule[Other CPP], schedule[Start Date],"&lt;="&amp;day_cash_behind[[#This Row],[Date]]-$G$2, schedule[Finish Date],"&gt;="&amp;day_cash_behind[[#This Row],[Date]]-$G$2)</f>
        <v>0</v>
      </c>
      <c r="H20" s="3">
        <f>SUM(day_cash_behind[[#This Row],[Labor Cost]:[Other Cost]])</f>
        <v>1867.3092698933551</v>
      </c>
      <c r="I20" s="3">
        <f>SUMIFS(schedule[Revenue per Day], schedule[Start Date],"&lt;="&amp;day_cash_behind[[#This Row],[Date]]-$I$2, schedule[Finish Date],"&gt;="&amp;day_cash_behind[[#This Row],[Date]]-$I$2)</f>
        <v>0</v>
      </c>
      <c r="J20" s="3">
        <f>SUM(day_cash_behind[[#Headers],[Labor Cost]]:day_cash_behind[[#This Row],[Labor Cost]])</f>
        <v>16883.716160787528</v>
      </c>
      <c r="K20" s="3">
        <f>SUM(day_cash_behind[[#Headers],[Material Cost]]:day_cash_behind[[#This Row],[Material Cost]])</f>
        <v>0</v>
      </c>
      <c r="L20" s="3">
        <f>SUM(day_cash_behind[[#Headers],[Equipment Cost]]:day_cash_behind[[#This Row],[Equipment Cost]])</f>
        <v>0</v>
      </c>
      <c r="M20" s="3">
        <f>SUM(day_cash_behind[[#Headers],[Sub Cost]]:day_cash_behind[[#This Row],[Sub Cost]])</f>
        <v>0</v>
      </c>
      <c r="N20" s="3">
        <f>SUM(day_cash_behind[[#Headers],[Other Cost]]:day_cash_behind[[#This Row],[Other Cost]])</f>
        <v>0</v>
      </c>
      <c r="O20" s="3">
        <f>SUM(day_cash_behind[[#This Row],[Cumulative Labor]:[Cumulative Other]])</f>
        <v>16883.716160787528</v>
      </c>
      <c r="P20" s="3">
        <f>SUM(day_cash_behind[[#Headers],[Revenue]]:day_cash_behind[[#This Row],[Revenue]])</f>
        <v>0</v>
      </c>
    </row>
    <row r="21" spans="2:16" x14ac:dyDescent="0.45">
      <c r="B21" s="1">
        <v>46404</v>
      </c>
      <c r="C21" s="4">
        <f>SUMIFS(schedule[Labor CPP], schedule[Start Date],"&lt;="&amp;day_cash_behind[[#This Row],[Date]], schedule[Finish Date],"&gt;="&amp;day_cash_behind[[#This Row],[Date]])</f>
        <v>1867.3092698933551</v>
      </c>
      <c r="D21" s="4">
        <f>SUMIFS(schedule[Material CPP], schedule[Start Date],"&lt;="&amp;day_cash_behind[[#This Row],[Date]]-$D$2, schedule[Finish Date],"&gt;="&amp;day_cash_behind[[#This Row],[Date]]-$D$2)</f>
        <v>0</v>
      </c>
      <c r="E21" s="4">
        <f>SUMIFS(schedule[Equipment CPP], schedule[Start Date],"&lt;="&amp;day_cash_behind[[#This Row],[Date]]-$E$2, schedule[Finish Date],"&gt;="&amp;day_cash_behind[[#This Row],[Date]]-$E$2)</f>
        <v>0</v>
      </c>
      <c r="F21" s="4">
        <f>SUMIFS(schedule[Sub CPP], schedule[Start Date],"&lt;="&amp;day_cash_behind[[#This Row],[Date]]-$F$2, schedule[Finish Date],"&gt;="&amp;day_cash_behind[[#This Row],[Date]]-$F$2)</f>
        <v>0</v>
      </c>
      <c r="G21" s="3">
        <f>SUMIFS(schedule[Other CPP], schedule[Start Date],"&lt;="&amp;day_cash_behind[[#This Row],[Date]]-$G$2, schedule[Finish Date],"&gt;="&amp;day_cash_behind[[#This Row],[Date]]-$G$2)</f>
        <v>0</v>
      </c>
      <c r="H21" s="3">
        <f>SUM(day_cash_behind[[#This Row],[Labor Cost]:[Other Cost]])</f>
        <v>1867.3092698933551</v>
      </c>
      <c r="I21" s="3">
        <f>SUMIFS(schedule[Revenue per Day], schedule[Start Date],"&lt;="&amp;day_cash_behind[[#This Row],[Date]]-$I$2, schedule[Finish Date],"&gt;="&amp;day_cash_behind[[#This Row],[Date]]-$I$2)</f>
        <v>0</v>
      </c>
      <c r="J21" s="3">
        <f>SUM(day_cash_behind[[#Headers],[Labor Cost]]:day_cash_behind[[#This Row],[Labor Cost]])</f>
        <v>18751.025430680882</v>
      </c>
      <c r="K21" s="3">
        <f>SUM(day_cash_behind[[#Headers],[Material Cost]]:day_cash_behind[[#This Row],[Material Cost]])</f>
        <v>0</v>
      </c>
      <c r="L21" s="3">
        <f>SUM(day_cash_behind[[#Headers],[Equipment Cost]]:day_cash_behind[[#This Row],[Equipment Cost]])</f>
        <v>0</v>
      </c>
      <c r="M21" s="3">
        <f>SUM(day_cash_behind[[#Headers],[Sub Cost]]:day_cash_behind[[#This Row],[Sub Cost]])</f>
        <v>0</v>
      </c>
      <c r="N21" s="3">
        <f>SUM(day_cash_behind[[#Headers],[Other Cost]]:day_cash_behind[[#This Row],[Other Cost]])</f>
        <v>0</v>
      </c>
      <c r="O21" s="3">
        <f>SUM(day_cash_behind[[#This Row],[Cumulative Labor]:[Cumulative Other]])</f>
        <v>18751.025430680882</v>
      </c>
      <c r="P21" s="3">
        <f>SUM(day_cash_behind[[#Headers],[Revenue]]:day_cash_behind[[#This Row],[Revenue]])</f>
        <v>0</v>
      </c>
    </row>
    <row r="22" spans="2:16" x14ac:dyDescent="0.45">
      <c r="B22" s="1">
        <v>46405</v>
      </c>
      <c r="C22" s="4">
        <f>SUMIFS(schedule[Labor CPP], schedule[Start Date],"&lt;="&amp;day_cash_behind[[#This Row],[Date]], schedule[Finish Date],"&gt;="&amp;day_cash_behind[[#This Row],[Date]])</f>
        <v>1867.3092698933551</v>
      </c>
      <c r="D22" s="4">
        <f>SUMIFS(schedule[Material CPP], schedule[Start Date],"&lt;="&amp;day_cash_behind[[#This Row],[Date]]-$D$2, schedule[Finish Date],"&gt;="&amp;day_cash_behind[[#This Row],[Date]]-$D$2)</f>
        <v>0</v>
      </c>
      <c r="E22" s="4">
        <f>SUMIFS(schedule[Equipment CPP], schedule[Start Date],"&lt;="&amp;day_cash_behind[[#This Row],[Date]]-$E$2, schedule[Finish Date],"&gt;="&amp;day_cash_behind[[#This Row],[Date]]-$E$2)</f>
        <v>0</v>
      </c>
      <c r="F22" s="4">
        <f>SUMIFS(schedule[Sub CPP], schedule[Start Date],"&lt;="&amp;day_cash_behind[[#This Row],[Date]]-$F$2, schedule[Finish Date],"&gt;="&amp;day_cash_behind[[#This Row],[Date]]-$F$2)</f>
        <v>0</v>
      </c>
      <c r="G22" s="3">
        <f>SUMIFS(schedule[Other CPP], schedule[Start Date],"&lt;="&amp;day_cash_behind[[#This Row],[Date]]-$G$2, schedule[Finish Date],"&gt;="&amp;day_cash_behind[[#This Row],[Date]]-$G$2)</f>
        <v>0</v>
      </c>
      <c r="H22" s="3">
        <f>SUM(day_cash_behind[[#This Row],[Labor Cost]:[Other Cost]])</f>
        <v>1867.3092698933551</v>
      </c>
      <c r="I22" s="3">
        <f>SUMIFS(schedule[Revenue per Day], schedule[Start Date],"&lt;="&amp;day_cash_behind[[#This Row],[Date]]-$I$2, schedule[Finish Date],"&gt;="&amp;day_cash_behind[[#This Row],[Date]]-$I$2)</f>
        <v>0</v>
      </c>
      <c r="J22" s="3">
        <f>SUM(day_cash_behind[[#Headers],[Labor Cost]]:day_cash_behind[[#This Row],[Labor Cost]])</f>
        <v>20618.334700574236</v>
      </c>
      <c r="K22" s="3">
        <f>SUM(day_cash_behind[[#Headers],[Material Cost]]:day_cash_behind[[#This Row],[Material Cost]])</f>
        <v>0</v>
      </c>
      <c r="L22" s="3">
        <f>SUM(day_cash_behind[[#Headers],[Equipment Cost]]:day_cash_behind[[#This Row],[Equipment Cost]])</f>
        <v>0</v>
      </c>
      <c r="M22" s="3">
        <f>SUM(day_cash_behind[[#Headers],[Sub Cost]]:day_cash_behind[[#This Row],[Sub Cost]])</f>
        <v>0</v>
      </c>
      <c r="N22" s="3">
        <f>SUM(day_cash_behind[[#Headers],[Other Cost]]:day_cash_behind[[#This Row],[Other Cost]])</f>
        <v>0</v>
      </c>
      <c r="O22" s="3">
        <f>SUM(day_cash_behind[[#This Row],[Cumulative Labor]:[Cumulative Other]])</f>
        <v>20618.334700574236</v>
      </c>
      <c r="P22" s="3">
        <f>SUM(day_cash_behind[[#Headers],[Revenue]]:day_cash_behind[[#This Row],[Revenue]])</f>
        <v>0</v>
      </c>
    </row>
    <row r="23" spans="2:16" x14ac:dyDescent="0.45">
      <c r="B23" s="1">
        <v>46406</v>
      </c>
      <c r="C23" s="4">
        <f>SUMIFS(schedule[Labor CPP], schedule[Start Date],"&lt;="&amp;day_cash_behind[[#This Row],[Date]], schedule[Finish Date],"&gt;="&amp;day_cash_behind[[#This Row],[Date]])</f>
        <v>1867.3092698933551</v>
      </c>
      <c r="D23" s="4">
        <f>SUMIFS(schedule[Material CPP], schedule[Start Date],"&lt;="&amp;day_cash_behind[[#This Row],[Date]]-$D$2, schedule[Finish Date],"&gt;="&amp;day_cash_behind[[#This Row],[Date]]-$D$2)</f>
        <v>0</v>
      </c>
      <c r="E23" s="4">
        <f>SUMIFS(schedule[Equipment CPP], schedule[Start Date],"&lt;="&amp;day_cash_behind[[#This Row],[Date]]-$E$2, schedule[Finish Date],"&gt;="&amp;day_cash_behind[[#This Row],[Date]]-$E$2)</f>
        <v>0</v>
      </c>
      <c r="F23" s="4">
        <f>SUMIFS(schedule[Sub CPP], schedule[Start Date],"&lt;="&amp;day_cash_behind[[#This Row],[Date]]-$F$2, schedule[Finish Date],"&gt;="&amp;day_cash_behind[[#This Row],[Date]]-$F$2)</f>
        <v>0</v>
      </c>
      <c r="G23" s="3">
        <f>SUMIFS(schedule[Other CPP], schedule[Start Date],"&lt;="&amp;day_cash_behind[[#This Row],[Date]]-$G$2, schedule[Finish Date],"&gt;="&amp;day_cash_behind[[#This Row],[Date]]-$G$2)</f>
        <v>0</v>
      </c>
      <c r="H23" s="3">
        <f>SUM(day_cash_behind[[#This Row],[Labor Cost]:[Other Cost]])</f>
        <v>1867.3092698933551</v>
      </c>
      <c r="I23" s="3">
        <f>SUMIFS(schedule[Revenue per Day], schedule[Start Date],"&lt;="&amp;day_cash_behind[[#This Row],[Date]]-$I$2, schedule[Finish Date],"&gt;="&amp;day_cash_behind[[#This Row],[Date]]-$I$2)</f>
        <v>0</v>
      </c>
      <c r="J23" s="3">
        <f>SUM(day_cash_behind[[#Headers],[Labor Cost]]:day_cash_behind[[#This Row],[Labor Cost]])</f>
        <v>22485.64397046759</v>
      </c>
      <c r="K23" s="3">
        <f>SUM(day_cash_behind[[#Headers],[Material Cost]]:day_cash_behind[[#This Row],[Material Cost]])</f>
        <v>0</v>
      </c>
      <c r="L23" s="3">
        <f>SUM(day_cash_behind[[#Headers],[Equipment Cost]]:day_cash_behind[[#This Row],[Equipment Cost]])</f>
        <v>0</v>
      </c>
      <c r="M23" s="3">
        <f>SUM(day_cash_behind[[#Headers],[Sub Cost]]:day_cash_behind[[#This Row],[Sub Cost]])</f>
        <v>0</v>
      </c>
      <c r="N23" s="3">
        <f>SUM(day_cash_behind[[#Headers],[Other Cost]]:day_cash_behind[[#This Row],[Other Cost]])</f>
        <v>0</v>
      </c>
      <c r="O23" s="3">
        <f>SUM(day_cash_behind[[#This Row],[Cumulative Labor]:[Cumulative Other]])</f>
        <v>22485.64397046759</v>
      </c>
      <c r="P23" s="3">
        <f>SUM(day_cash_behind[[#Headers],[Revenue]]:day_cash_behind[[#This Row],[Revenue]])</f>
        <v>0</v>
      </c>
    </row>
    <row r="24" spans="2:16" x14ac:dyDescent="0.45">
      <c r="B24" s="1">
        <v>46407</v>
      </c>
      <c r="C24" s="4">
        <f>SUMIFS(schedule[Labor CPP], schedule[Start Date],"&lt;="&amp;day_cash_behind[[#This Row],[Date]], schedule[Finish Date],"&gt;="&amp;day_cash_behind[[#This Row],[Date]])</f>
        <v>1867.3092698933551</v>
      </c>
      <c r="D24" s="4">
        <f>SUMIFS(schedule[Material CPP], schedule[Start Date],"&lt;="&amp;day_cash_behind[[#This Row],[Date]]-$D$2, schedule[Finish Date],"&gt;="&amp;day_cash_behind[[#This Row],[Date]]-$D$2)</f>
        <v>0</v>
      </c>
      <c r="E24" s="4">
        <f>SUMIFS(schedule[Equipment CPP], schedule[Start Date],"&lt;="&amp;day_cash_behind[[#This Row],[Date]]-$E$2, schedule[Finish Date],"&gt;="&amp;day_cash_behind[[#This Row],[Date]]-$E$2)</f>
        <v>0</v>
      </c>
      <c r="F24" s="4">
        <f>SUMIFS(schedule[Sub CPP], schedule[Start Date],"&lt;="&amp;day_cash_behind[[#This Row],[Date]]-$F$2, schedule[Finish Date],"&gt;="&amp;day_cash_behind[[#This Row],[Date]]-$F$2)</f>
        <v>0</v>
      </c>
      <c r="G24" s="3">
        <f>SUMIFS(schedule[Other CPP], schedule[Start Date],"&lt;="&amp;day_cash_behind[[#This Row],[Date]]-$G$2, schedule[Finish Date],"&gt;="&amp;day_cash_behind[[#This Row],[Date]]-$G$2)</f>
        <v>0</v>
      </c>
      <c r="H24" s="3">
        <f>SUM(day_cash_behind[[#This Row],[Labor Cost]:[Other Cost]])</f>
        <v>1867.3092698933551</v>
      </c>
      <c r="I24" s="3">
        <f>SUMIFS(schedule[Revenue per Day], schedule[Start Date],"&lt;="&amp;day_cash_behind[[#This Row],[Date]]-$I$2, schedule[Finish Date],"&gt;="&amp;day_cash_behind[[#This Row],[Date]]-$I$2)</f>
        <v>0</v>
      </c>
      <c r="J24" s="3">
        <f>SUM(day_cash_behind[[#Headers],[Labor Cost]]:day_cash_behind[[#This Row],[Labor Cost]])</f>
        <v>24352.953240360945</v>
      </c>
      <c r="K24" s="3">
        <f>SUM(day_cash_behind[[#Headers],[Material Cost]]:day_cash_behind[[#This Row],[Material Cost]])</f>
        <v>0</v>
      </c>
      <c r="L24" s="3">
        <f>SUM(day_cash_behind[[#Headers],[Equipment Cost]]:day_cash_behind[[#This Row],[Equipment Cost]])</f>
        <v>0</v>
      </c>
      <c r="M24" s="3">
        <f>SUM(day_cash_behind[[#Headers],[Sub Cost]]:day_cash_behind[[#This Row],[Sub Cost]])</f>
        <v>0</v>
      </c>
      <c r="N24" s="3">
        <f>SUM(day_cash_behind[[#Headers],[Other Cost]]:day_cash_behind[[#This Row],[Other Cost]])</f>
        <v>0</v>
      </c>
      <c r="O24" s="3">
        <f>SUM(day_cash_behind[[#This Row],[Cumulative Labor]:[Cumulative Other]])</f>
        <v>24352.953240360945</v>
      </c>
      <c r="P24" s="3">
        <f>SUM(day_cash_behind[[#Headers],[Revenue]]:day_cash_behind[[#This Row],[Revenue]])</f>
        <v>0</v>
      </c>
    </row>
    <row r="25" spans="2:16" x14ac:dyDescent="0.45">
      <c r="B25" s="1">
        <v>46408</v>
      </c>
      <c r="C25" s="4">
        <f>SUMIFS(schedule[Labor CPP], schedule[Start Date],"&lt;="&amp;day_cash_behind[[#This Row],[Date]], schedule[Finish Date],"&gt;="&amp;day_cash_behind[[#This Row],[Date]])</f>
        <v>1867.3092698933551</v>
      </c>
      <c r="D25" s="4">
        <f>SUMIFS(schedule[Material CPP], schedule[Start Date],"&lt;="&amp;day_cash_behind[[#This Row],[Date]]-$D$2, schedule[Finish Date],"&gt;="&amp;day_cash_behind[[#This Row],[Date]]-$D$2)</f>
        <v>0</v>
      </c>
      <c r="E25" s="4">
        <f>SUMIFS(schedule[Equipment CPP], schedule[Start Date],"&lt;="&amp;day_cash_behind[[#This Row],[Date]]-$E$2, schedule[Finish Date],"&gt;="&amp;day_cash_behind[[#This Row],[Date]]-$E$2)</f>
        <v>0</v>
      </c>
      <c r="F25" s="4">
        <f>SUMIFS(schedule[Sub CPP], schedule[Start Date],"&lt;="&amp;day_cash_behind[[#This Row],[Date]]-$F$2, schedule[Finish Date],"&gt;="&amp;day_cash_behind[[#This Row],[Date]]-$F$2)</f>
        <v>0</v>
      </c>
      <c r="G25" s="3">
        <f>SUMIFS(schedule[Other CPP], schedule[Start Date],"&lt;="&amp;day_cash_behind[[#This Row],[Date]]-$G$2, schedule[Finish Date],"&gt;="&amp;day_cash_behind[[#This Row],[Date]]-$G$2)</f>
        <v>0</v>
      </c>
      <c r="H25" s="3">
        <f>SUM(day_cash_behind[[#This Row],[Labor Cost]:[Other Cost]])</f>
        <v>1867.3092698933551</v>
      </c>
      <c r="I25" s="3">
        <f>SUMIFS(schedule[Revenue per Day], schedule[Start Date],"&lt;="&amp;day_cash_behind[[#This Row],[Date]]-$I$2, schedule[Finish Date],"&gt;="&amp;day_cash_behind[[#This Row],[Date]]-$I$2)</f>
        <v>0</v>
      </c>
      <c r="J25" s="3">
        <f>SUM(day_cash_behind[[#Headers],[Labor Cost]]:day_cash_behind[[#This Row],[Labor Cost]])</f>
        <v>26220.262510254299</v>
      </c>
      <c r="K25" s="3">
        <f>SUM(day_cash_behind[[#Headers],[Material Cost]]:day_cash_behind[[#This Row],[Material Cost]])</f>
        <v>0</v>
      </c>
      <c r="L25" s="3">
        <f>SUM(day_cash_behind[[#Headers],[Equipment Cost]]:day_cash_behind[[#This Row],[Equipment Cost]])</f>
        <v>0</v>
      </c>
      <c r="M25" s="3">
        <f>SUM(day_cash_behind[[#Headers],[Sub Cost]]:day_cash_behind[[#This Row],[Sub Cost]])</f>
        <v>0</v>
      </c>
      <c r="N25" s="3">
        <f>SUM(day_cash_behind[[#Headers],[Other Cost]]:day_cash_behind[[#This Row],[Other Cost]])</f>
        <v>0</v>
      </c>
      <c r="O25" s="3">
        <f>SUM(day_cash_behind[[#This Row],[Cumulative Labor]:[Cumulative Other]])</f>
        <v>26220.262510254299</v>
      </c>
      <c r="P25" s="3">
        <f>SUM(day_cash_behind[[#Headers],[Revenue]]:day_cash_behind[[#This Row],[Revenue]])</f>
        <v>0</v>
      </c>
    </row>
    <row r="26" spans="2:16" x14ac:dyDescent="0.45">
      <c r="B26" s="1">
        <v>46409</v>
      </c>
      <c r="C26" s="4">
        <f>SUMIFS(schedule[Labor CPP], schedule[Start Date],"&lt;="&amp;day_cash_behind[[#This Row],[Date]], schedule[Finish Date],"&gt;="&amp;day_cash_behind[[#This Row],[Date]])</f>
        <v>1867.3092698933551</v>
      </c>
      <c r="D26" s="4">
        <f>SUMIFS(schedule[Material CPP], schedule[Start Date],"&lt;="&amp;day_cash_behind[[#This Row],[Date]]-$D$2, schedule[Finish Date],"&gt;="&amp;day_cash_behind[[#This Row],[Date]]-$D$2)</f>
        <v>0</v>
      </c>
      <c r="E26" s="4">
        <f>SUMIFS(schedule[Equipment CPP], schedule[Start Date],"&lt;="&amp;day_cash_behind[[#This Row],[Date]]-$E$2, schedule[Finish Date],"&gt;="&amp;day_cash_behind[[#This Row],[Date]]-$E$2)</f>
        <v>0</v>
      </c>
      <c r="F26" s="4">
        <f>SUMIFS(schedule[Sub CPP], schedule[Start Date],"&lt;="&amp;day_cash_behind[[#This Row],[Date]]-$F$2, schedule[Finish Date],"&gt;="&amp;day_cash_behind[[#This Row],[Date]]-$F$2)</f>
        <v>0</v>
      </c>
      <c r="G26" s="3">
        <f>SUMIFS(schedule[Other CPP], schedule[Start Date],"&lt;="&amp;day_cash_behind[[#This Row],[Date]]-$G$2, schedule[Finish Date],"&gt;="&amp;day_cash_behind[[#This Row],[Date]]-$G$2)</f>
        <v>0</v>
      </c>
      <c r="H26" s="3">
        <f>SUM(day_cash_behind[[#This Row],[Labor Cost]:[Other Cost]])</f>
        <v>1867.3092698933551</v>
      </c>
      <c r="I26" s="3">
        <f>SUMIFS(schedule[Revenue per Day], schedule[Start Date],"&lt;="&amp;day_cash_behind[[#This Row],[Date]]-$I$2, schedule[Finish Date],"&gt;="&amp;day_cash_behind[[#This Row],[Date]]-$I$2)</f>
        <v>0</v>
      </c>
      <c r="J26" s="3">
        <f>SUM(day_cash_behind[[#Headers],[Labor Cost]]:day_cash_behind[[#This Row],[Labor Cost]])</f>
        <v>28087.571780147653</v>
      </c>
      <c r="K26" s="3">
        <f>SUM(day_cash_behind[[#Headers],[Material Cost]]:day_cash_behind[[#This Row],[Material Cost]])</f>
        <v>0</v>
      </c>
      <c r="L26" s="3">
        <f>SUM(day_cash_behind[[#Headers],[Equipment Cost]]:day_cash_behind[[#This Row],[Equipment Cost]])</f>
        <v>0</v>
      </c>
      <c r="M26" s="3">
        <f>SUM(day_cash_behind[[#Headers],[Sub Cost]]:day_cash_behind[[#This Row],[Sub Cost]])</f>
        <v>0</v>
      </c>
      <c r="N26" s="3">
        <f>SUM(day_cash_behind[[#Headers],[Other Cost]]:day_cash_behind[[#This Row],[Other Cost]])</f>
        <v>0</v>
      </c>
      <c r="O26" s="3">
        <f>SUM(day_cash_behind[[#This Row],[Cumulative Labor]:[Cumulative Other]])</f>
        <v>28087.571780147653</v>
      </c>
      <c r="P26" s="3">
        <f>SUM(day_cash_behind[[#Headers],[Revenue]]:day_cash_behind[[#This Row],[Revenue]])</f>
        <v>0</v>
      </c>
    </row>
    <row r="27" spans="2:16" x14ac:dyDescent="0.45">
      <c r="B27" s="1">
        <v>46410</v>
      </c>
      <c r="C27" s="4">
        <f>SUMIFS(schedule[Labor CPP], schedule[Start Date],"&lt;="&amp;day_cash_behind[[#This Row],[Date]], schedule[Finish Date],"&gt;="&amp;day_cash_behind[[#This Row],[Date]])</f>
        <v>1867.3092698933551</v>
      </c>
      <c r="D27" s="4">
        <f>SUMIFS(schedule[Material CPP], schedule[Start Date],"&lt;="&amp;day_cash_behind[[#This Row],[Date]]-$D$2, schedule[Finish Date],"&gt;="&amp;day_cash_behind[[#This Row],[Date]]-$D$2)</f>
        <v>0</v>
      </c>
      <c r="E27" s="4">
        <f>SUMIFS(schedule[Equipment CPP], schedule[Start Date],"&lt;="&amp;day_cash_behind[[#This Row],[Date]]-$E$2, schedule[Finish Date],"&gt;="&amp;day_cash_behind[[#This Row],[Date]]-$E$2)</f>
        <v>0</v>
      </c>
      <c r="F27" s="4">
        <f>SUMIFS(schedule[Sub CPP], schedule[Start Date],"&lt;="&amp;day_cash_behind[[#This Row],[Date]]-$F$2, schedule[Finish Date],"&gt;="&amp;day_cash_behind[[#This Row],[Date]]-$F$2)</f>
        <v>0</v>
      </c>
      <c r="G27" s="3">
        <f>SUMIFS(schedule[Other CPP], schedule[Start Date],"&lt;="&amp;day_cash_behind[[#This Row],[Date]]-$G$2, schedule[Finish Date],"&gt;="&amp;day_cash_behind[[#This Row],[Date]]-$G$2)</f>
        <v>0</v>
      </c>
      <c r="H27" s="3">
        <f>SUM(day_cash_behind[[#This Row],[Labor Cost]:[Other Cost]])</f>
        <v>1867.3092698933551</v>
      </c>
      <c r="I27" s="3">
        <f>SUMIFS(schedule[Revenue per Day], schedule[Start Date],"&lt;="&amp;day_cash_behind[[#This Row],[Date]]-$I$2, schedule[Finish Date],"&gt;="&amp;day_cash_behind[[#This Row],[Date]]-$I$2)</f>
        <v>0</v>
      </c>
      <c r="J27" s="3">
        <f>SUM(day_cash_behind[[#Headers],[Labor Cost]]:day_cash_behind[[#This Row],[Labor Cost]])</f>
        <v>29954.881050041007</v>
      </c>
      <c r="K27" s="3">
        <f>SUM(day_cash_behind[[#Headers],[Material Cost]]:day_cash_behind[[#This Row],[Material Cost]])</f>
        <v>0</v>
      </c>
      <c r="L27" s="3">
        <f>SUM(day_cash_behind[[#Headers],[Equipment Cost]]:day_cash_behind[[#This Row],[Equipment Cost]])</f>
        <v>0</v>
      </c>
      <c r="M27" s="3">
        <f>SUM(day_cash_behind[[#Headers],[Sub Cost]]:day_cash_behind[[#This Row],[Sub Cost]])</f>
        <v>0</v>
      </c>
      <c r="N27" s="3">
        <f>SUM(day_cash_behind[[#Headers],[Other Cost]]:day_cash_behind[[#This Row],[Other Cost]])</f>
        <v>0</v>
      </c>
      <c r="O27" s="3">
        <f>SUM(day_cash_behind[[#This Row],[Cumulative Labor]:[Cumulative Other]])</f>
        <v>29954.881050041007</v>
      </c>
      <c r="P27" s="3">
        <f>SUM(day_cash_behind[[#Headers],[Revenue]]:day_cash_behind[[#This Row],[Revenue]])</f>
        <v>0</v>
      </c>
    </row>
    <row r="28" spans="2:16" x14ac:dyDescent="0.45">
      <c r="B28" s="1">
        <v>46411</v>
      </c>
      <c r="C28" s="4">
        <f>SUMIFS(schedule[Labor CPP], schedule[Start Date],"&lt;="&amp;day_cash_behind[[#This Row],[Date]], schedule[Finish Date],"&gt;="&amp;day_cash_behind[[#This Row],[Date]])</f>
        <v>1867.3092698933551</v>
      </c>
      <c r="D28" s="4">
        <f>SUMIFS(schedule[Material CPP], schedule[Start Date],"&lt;="&amp;day_cash_behind[[#This Row],[Date]]-$D$2, schedule[Finish Date],"&gt;="&amp;day_cash_behind[[#This Row],[Date]]-$D$2)</f>
        <v>0</v>
      </c>
      <c r="E28" s="4">
        <f>SUMIFS(schedule[Equipment CPP], schedule[Start Date],"&lt;="&amp;day_cash_behind[[#This Row],[Date]]-$E$2, schedule[Finish Date],"&gt;="&amp;day_cash_behind[[#This Row],[Date]]-$E$2)</f>
        <v>0</v>
      </c>
      <c r="F28" s="4">
        <f>SUMIFS(schedule[Sub CPP], schedule[Start Date],"&lt;="&amp;day_cash_behind[[#This Row],[Date]]-$F$2, schedule[Finish Date],"&gt;="&amp;day_cash_behind[[#This Row],[Date]]-$F$2)</f>
        <v>0</v>
      </c>
      <c r="G28" s="3">
        <f>SUMIFS(schedule[Other CPP], schedule[Start Date],"&lt;="&amp;day_cash_behind[[#This Row],[Date]]-$G$2, schedule[Finish Date],"&gt;="&amp;day_cash_behind[[#This Row],[Date]]-$G$2)</f>
        <v>0</v>
      </c>
      <c r="H28" s="3">
        <f>SUM(day_cash_behind[[#This Row],[Labor Cost]:[Other Cost]])</f>
        <v>1867.3092698933551</v>
      </c>
      <c r="I28" s="3">
        <f>SUMIFS(schedule[Revenue per Day], schedule[Start Date],"&lt;="&amp;day_cash_behind[[#This Row],[Date]]-$I$2, schedule[Finish Date],"&gt;="&amp;day_cash_behind[[#This Row],[Date]]-$I$2)</f>
        <v>0</v>
      </c>
      <c r="J28" s="3">
        <f>SUM(day_cash_behind[[#Headers],[Labor Cost]]:day_cash_behind[[#This Row],[Labor Cost]])</f>
        <v>31822.190319934361</v>
      </c>
      <c r="K28" s="3">
        <f>SUM(day_cash_behind[[#Headers],[Material Cost]]:day_cash_behind[[#This Row],[Material Cost]])</f>
        <v>0</v>
      </c>
      <c r="L28" s="3">
        <f>SUM(day_cash_behind[[#Headers],[Equipment Cost]]:day_cash_behind[[#This Row],[Equipment Cost]])</f>
        <v>0</v>
      </c>
      <c r="M28" s="3">
        <f>SUM(day_cash_behind[[#Headers],[Sub Cost]]:day_cash_behind[[#This Row],[Sub Cost]])</f>
        <v>0</v>
      </c>
      <c r="N28" s="3">
        <f>SUM(day_cash_behind[[#Headers],[Other Cost]]:day_cash_behind[[#This Row],[Other Cost]])</f>
        <v>0</v>
      </c>
      <c r="O28" s="3">
        <f>SUM(day_cash_behind[[#This Row],[Cumulative Labor]:[Cumulative Other]])</f>
        <v>31822.190319934361</v>
      </c>
      <c r="P28" s="3">
        <f>SUM(day_cash_behind[[#Headers],[Revenue]]:day_cash_behind[[#This Row],[Revenue]])</f>
        <v>0</v>
      </c>
    </row>
    <row r="29" spans="2:16" x14ac:dyDescent="0.45">
      <c r="B29" s="1">
        <v>46412</v>
      </c>
      <c r="C29" s="4">
        <f>SUMIFS(schedule[Labor CPP], schedule[Start Date],"&lt;="&amp;day_cash_behind[[#This Row],[Date]], schedule[Finish Date],"&gt;="&amp;day_cash_behind[[#This Row],[Date]])</f>
        <v>1867.3092698933551</v>
      </c>
      <c r="D29" s="4">
        <f>SUMIFS(schedule[Material CPP], schedule[Start Date],"&lt;="&amp;day_cash_behind[[#This Row],[Date]]-$D$2, schedule[Finish Date],"&gt;="&amp;day_cash_behind[[#This Row],[Date]]-$D$2)</f>
        <v>0</v>
      </c>
      <c r="E29" s="4">
        <f>SUMIFS(schedule[Equipment CPP], schedule[Start Date],"&lt;="&amp;day_cash_behind[[#This Row],[Date]]-$E$2, schedule[Finish Date],"&gt;="&amp;day_cash_behind[[#This Row],[Date]]-$E$2)</f>
        <v>0</v>
      </c>
      <c r="F29" s="4">
        <f>SUMIFS(schedule[Sub CPP], schedule[Start Date],"&lt;="&amp;day_cash_behind[[#This Row],[Date]]-$F$2, schedule[Finish Date],"&gt;="&amp;day_cash_behind[[#This Row],[Date]]-$F$2)</f>
        <v>0</v>
      </c>
      <c r="G29" s="3">
        <f>SUMIFS(schedule[Other CPP], schedule[Start Date],"&lt;="&amp;day_cash_behind[[#This Row],[Date]]-$G$2, schedule[Finish Date],"&gt;="&amp;day_cash_behind[[#This Row],[Date]]-$G$2)</f>
        <v>0</v>
      </c>
      <c r="H29" s="3">
        <f>SUM(day_cash_behind[[#This Row],[Labor Cost]:[Other Cost]])</f>
        <v>1867.3092698933551</v>
      </c>
      <c r="I29" s="3">
        <f>SUMIFS(schedule[Revenue per Day], schedule[Start Date],"&lt;="&amp;day_cash_behind[[#This Row],[Date]]-$I$2, schedule[Finish Date],"&gt;="&amp;day_cash_behind[[#This Row],[Date]]-$I$2)</f>
        <v>0</v>
      </c>
      <c r="J29" s="3">
        <f>SUM(day_cash_behind[[#Headers],[Labor Cost]]:day_cash_behind[[#This Row],[Labor Cost]])</f>
        <v>33689.499589827719</v>
      </c>
      <c r="K29" s="3">
        <f>SUM(day_cash_behind[[#Headers],[Material Cost]]:day_cash_behind[[#This Row],[Material Cost]])</f>
        <v>0</v>
      </c>
      <c r="L29" s="3">
        <f>SUM(day_cash_behind[[#Headers],[Equipment Cost]]:day_cash_behind[[#This Row],[Equipment Cost]])</f>
        <v>0</v>
      </c>
      <c r="M29" s="3">
        <f>SUM(day_cash_behind[[#Headers],[Sub Cost]]:day_cash_behind[[#This Row],[Sub Cost]])</f>
        <v>0</v>
      </c>
      <c r="N29" s="3">
        <f>SUM(day_cash_behind[[#Headers],[Other Cost]]:day_cash_behind[[#This Row],[Other Cost]])</f>
        <v>0</v>
      </c>
      <c r="O29" s="3">
        <f>SUM(day_cash_behind[[#This Row],[Cumulative Labor]:[Cumulative Other]])</f>
        <v>33689.499589827719</v>
      </c>
      <c r="P29" s="3">
        <f>SUM(day_cash_behind[[#Headers],[Revenue]]:day_cash_behind[[#This Row],[Revenue]])</f>
        <v>0</v>
      </c>
    </row>
    <row r="30" spans="2:16" x14ac:dyDescent="0.45">
      <c r="B30" s="1">
        <v>46413</v>
      </c>
      <c r="C30" s="4">
        <f>SUMIFS(schedule[Labor CPP], schedule[Start Date],"&lt;="&amp;day_cash_behind[[#This Row],[Date]], schedule[Finish Date],"&gt;="&amp;day_cash_behind[[#This Row],[Date]])</f>
        <v>1867.3092698933551</v>
      </c>
      <c r="D30" s="4">
        <f>SUMIFS(schedule[Material CPP], schedule[Start Date],"&lt;="&amp;day_cash_behind[[#This Row],[Date]]-$D$2, schedule[Finish Date],"&gt;="&amp;day_cash_behind[[#This Row],[Date]]-$D$2)</f>
        <v>0</v>
      </c>
      <c r="E30" s="4">
        <f>SUMIFS(schedule[Equipment CPP], schedule[Start Date],"&lt;="&amp;day_cash_behind[[#This Row],[Date]]-$E$2, schedule[Finish Date],"&gt;="&amp;day_cash_behind[[#This Row],[Date]]-$E$2)</f>
        <v>0</v>
      </c>
      <c r="F30" s="4">
        <f>SUMIFS(schedule[Sub CPP], schedule[Start Date],"&lt;="&amp;day_cash_behind[[#This Row],[Date]]-$F$2, schedule[Finish Date],"&gt;="&amp;day_cash_behind[[#This Row],[Date]]-$F$2)</f>
        <v>0</v>
      </c>
      <c r="G30" s="3">
        <f>SUMIFS(schedule[Other CPP], schedule[Start Date],"&lt;="&amp;day_cash_behind[[#This Row],[Date]]-$G$2, schedule[Finish Date],"&gt;="&amp;day_cash_behind[[#This Row],[Date]]-$G$2)</f>
        <v>0</v>
      </c>
      <c r="H30" s="3">
        <f>SUM(day_cash_behind[[#This Row],[Labor Cost]:[Other Cost]])</f>
        <v>1867.3092698933551</v>
      </c>
      <c r="I30" s="3">
        <f>SUMIFS(schedule[Revenue per Day], schedule[Start Date],"&lt;="&amp;day_cash_behind[[#This Row],[Date]]-$I$2, schedule[Finish Date],"&gt;="&amp;day_cash_behind[[#This Row],[Date]]-$I$2)</f>
        <v>0</v>
      </c>
      <c r="J30" s="3">
        <f>SUM(day_cash_behind[[#Headers],[Labor Cost]]:day_cash_behind[[#This Row],[Labor Cost]])</f>
        <v>35556.808859721074</v>
      </c>
      <c r="K30" s="3">
        <f>SUM(day_cash_behind[[#Headers],[Material Cost]]:day_cash_behind[[#This Row],[Material Cost]])</f>
        <v>0</v>
      </c>
      <c r="L30" s="3">
        <f>SUM(day_cash_behind[[#Headers],[Equipment Cost]]:day_cash_behind[[#This Row],[Equipment Cost]])</f>
        <v>0</v>
      </c>
      <c r="M30" s="3">
        <f>SUM(day_cash_behind[[#Headers],[Sub Cost]]:day_cash_behind[[#This Row],[Sub Cost]])</f>
        <v>0</v>
      </c>
      <c r="N30" s="3">
        <f>SUM(day_cash_behind[[#Headers],[Other Cost]]:day_cash_behind[[#This Row],[Other Cost]])</f>
        <v>0</v>
      </c>
      <c r="O30" s="3">
        <f>SUM(day_cash_behind[[#This Row],[Cumulative Labor]:[Cumulative Other]])</f>
        <v>35556.808859721074</v>
      </c>
      <c r="P30" s="3">
        <f>SUM(day_cash_behind[[#Headers],[Revenue]]:day_cash_behind[[#This Row],[Revenue]])</f>
        <v>0</v>
      </c>
    </row>
    <row r="31" spans="2:16" x14ac:dyDescent="0.45">
      <c r="B31" s="1">
        <v>46414</v>
      </c>
      <c r="C31" s="4">
        <f>SUMIFS(schedule[Labor CPP], schedule[Start Date],"&lt;="&amp;day_cash_behind[[#This Row],[Date]], schedule[Finish Date],"&gt;="&amp;day_cash_behind[[#This Row],[Date]])</f>
        <v>1867.3092698933551</v>
      </c>
      <c r="D31" s="4">
        <f>SUMIFS(schedule[Material CPP], schedule[Start Date],"&lt;="&amp;day_cash_behind[[#This Row],[Date]]-$D$2, schedule[Finish Date],"&gt;="&amp;day_cash_behind[[#This Row],[Date]]-$D$2)</f>
        <v>0</v>
      </c>
      <c r="E31" s="4">
        <f>SUMIFS(schedule[Equipment CPP], schedule[Start Date],"&lt;="&amp;day_cash_behind[[#This Row],[Date]]-$E$2, schedule[Finish Date],"&gt;="&amp;day_cash_behind[[#This Row],[Date]]-$E$2)</f>
        <v>0</v>
      </c>
      <c r="F31" s="4">
        <f>SUMIFS(schedule[Sub CPP], schedule[Start Date],"&lt;="&amp;day_cash_behind[[#This Row],[Date]]-$F$2, schedule[Finish Date],"&gt;="&amp;day_cash_behind[[#This Row],[Date]]-$F$2)</f>
        <v>0</v>
      </c>
      <c r="G31" s="3">
        <f>SUMIFS(schedule[Other CPP], schedule[Start Date],"&lt;="&amp;day_cash_behind[[#This Row],[Date]]-$G$2, schedule[Finish Date],"&gt;="&amp;day_cash_behind[[#This Row],[Date]]-$G$2)</f>
        <v>0</v>
      </c>
      <c r="H31" s="3">
        <f>SUM(day_cash_behind[[#This Row],[Labor Cost]:[Other Cost]])</f>
        <v>1867.3092698933551</v>
      </c>
      <c r="I31" s="3">
        <f>SUMIFS(schedule[Revenue per Day], schedule[Start Date],"&lt;="&amp;day_cash_behind[[#This Row],[Date]]-$I$2, schedule[Finish Date],"&gt;="&amp;day_cash_behind[[#This Row],[Date]]-$I$2)</f>
        <v>0</v>
      </c>
      <c r="J31" s="3">
        <f>SUM(day_cash_behind[[#Headers],[Labor Cost]]:day_cash_behind[[#This Row],[Labor Cost]])</f>
        <v>37424.118129614428</v>
      </c>
      <c r="K31" s="3">
        <f>SUM(day_cash_behind[[#Headers],[Material Cost]]:day_cash_behind[[#This Row],[Material Cost]])</f>
        <v>0</v>
      </c>
      <c r="L31" s="3">
        <f>SUM(day_cash_behind[[#Headers],[Equipment Cost]]:day_cash_behind[[#This Row],[Equipment Cost]])</f>
        <v>0</v>
      </c>
      <c r="M31" s="3">
        <f>SUM(day_cash_behind[[#Headers],[Sub Cost]]:day_cash_behind[[#This Row],[Sub Cost]])</f>
        <v>0</v>
      </c>
      <c r="N31" s="3">
        <f>SUM(day_cash_behind[[#Headers],[Other Cost]]:day_cash_behind[[#This Row],[Other Cost]])</f>
        <v>0</v>
      </c>
      <c r="O31" s="3">
        <f>SUM(day_cash_behind[[#This Row],[Cumulative Labor]:[Cumulative Other]])</f>
        <v>37424.118129614428</v>
      </c>
      <c r="P31" s="3">
        <f>SUM(day_cash_behind[[#Headers],[Revenue]]:day_cash_behind[[#This Row],[Revenue]])</f>
        <v>0</v>
      </c>
    </row>
    <row r="32" spans="2:16" x14ac:dyDescent="0.45">
      <c r="B32" s="1">
        <v>46415</v>
      </c>
      <c r="C32" s="4">
        <f>SUMIFS(schedule[Labor CPP], schedule[Start Date],"&lt;="&amp;day_cash_behind[[#This Row],[Date]], schedule[Finish Date],"&gt;="&amp;day_cash_behind[[#This Row],[Date]])</f>
        <v>1867.3092698933551</v>
      </c>
      <c r="D32" s="4">
        <f>SUMIFS(schedule[Material CPP], schedule[Start Date],"&lt;="&amp;day_cash_behind[[#This Row],[Date]]-$D$2, schedule[Finish Date],"&gt;="&amp;day_cash_behind[[#This Row],[Date]]-$D$2)</f>
        <v>0</v>
      </c>
      <c r="E32" s="4">
        <f>SUMIFS(schedule[Equipment CPP], schedule[Start Date],"&lt;="&amp;day_cash_behind[[#This Row],[Date]]-$E$2, schedule[Finish Date],"&gt;="&amp;day_cash_behind[[#This Row],[Date]]-$E$2)</f>
        <v>0</v>
      </c>
      <c r="F32" s="4">
        <f>SUMIFS(schedule[Sub CPP], schedule[Start Date],"&lt;="&amp;day_cash_behind[[#This Row],[Date]]-$F$2, schedule[Finish Date],"&gt;="&amp;day_cash_behind[[#This Row],[Date]]-$F$2)</f>
        <v>0</v>
      </c>
      <c r="G32" s="3">
        <f>SUMIFS(schedule[Other CPP], schedule[Start Date],"&lt;="&amp;day_cash_behind[[#This Row],[Date]]-$G$2, schedule[Finish Date],"&gt;="&amp;day_cash_behind[[#This Row],[Date]]-$G$2)</f>
        <v>0</v>
      </c>
      <c r="H32" s="3">
        <f>SUM(day_cash_behind[[#This Row],[Labor Cost]:[Other Cost]])</f>
        <v>1867.3092698933551</v>
      </c>
      <c r="I32" s="3">
        <f>SUMIFS(schedule[Revenue per Day], schedule[Start Date],"&lt;="&amp;day_cash_behind[[#This Row],[Date]]-$I$2, schedule[Finish Date],"&gt;="&amp;day_cash_behind[[#This Row],[Date]]-$I$2)</f>
        <v>0</v>
      </c>
      <c r="J32" s="3">
        <f>SUM(day_cash_behind[[#Headers],[Labor Cost]]:day_cash_behind[[#This Row],[Labor Cost]])</f>
        <v>39291.427399507782</v>
      </c>
      <c r="K32" s="3">
        <f>SUM(day_cash_behind[[#Headers],[Material Cost]]:day_cash_behind[[#This Row],[Material Cost]])</f>
        <v>0</v>
      </c>
      <c r="L32" s="3">
        <f>SUM(day_cash_behind[[#Headers],[Equipment Cost]]:day_cash_behind[[#This Row],[Equipment Cost]])</f>
        <v>0</v>
      </c>
      <c r="M32" s="3">
        <f>SUM(day_cash_behind[[#Headers],[Sub Cost]]:day_cash_behind[[#This Row],[Sub Cost]])</f>
        <v>0</v>
      </c>
      <c r="N32" s="3">
        <f>SUM(day_cash_behind[[#Headers],[Other Cost]]:day_cash_behind[[#This Row],[Other Cost]])</f>
        <v>0</v>
      </c>
      <c r="O32" s="3">
        <f>SUM(day_cash_behind[[#This Row],[Cumulative Labor]:[Cumulative Other]])</f>
        <v>39291.427399507782</v>
      </c>
      <c r="P32" s="3">
        <f>SUM(day_cash_behind[[#Headers],[Revenue]]:day_cash_behind[[#This Row],[Revenue]])</f>
        <v>0</v>
      </c>
    </row>
    <row r="33" spans="2:16" x14ac:dyDescent="0.45">
      <c r="B33" s="1">
        <v>46416</v>
      </c>
      <c r="C33" s="4">
        <f>SUMIFS(schedule[Labor CPP], schedule[Start Date],"&lt;="&amp;day_cash_behind[[#This Row],[Date]], schedule[Finish Date],"&gt;="&amp;day_cash_behind[[#This Row],[Date]])</f>
        <v>1867.3092698933551</v>
      </c>
      <c r="D33" s="4">
        <f>SUMIFS(schedule[Material CPP], schedule[Start Date],"&lt;="&amp;day_cash_behind[[#This Row],[Date]]-$D$2, schedule[Finish Date],"&gt;="&amp;day_cash_behind[[#This Row],[Date]]-$D$2)</f>
        <v>0</v>
      </c>
      <c r="E33" s="4">
        <f>SUMIFS(schedule[Equipment CPP], schedule[Start Date],"&lt;="&amp;day_cash_behind[[#This Row],[Date]]-$E$2, schedule[Finish Date],"&gt;="&amp;day_cash_behind[[#This Row],[Date]]-$E$2)</f>
        <v>0</v>
      </c>
      <c r="F33" s="4">
        <f>SUMIFS(schedule[Sub CPP], schedule[Start Date],"&lt;="&amp;day_cash_behind[[#This Row],[Date]]-$F$2, schedule[Finish Date],"&gt;="&amp;day_cash_behind[[#This Row],[Date]]-$F$2)</f>
        <v>0</v>
      </c>
      <c r="G33" s="3">
        <f>SUMIFS(schedule[Other CPP], schedule[Start Date],"&lt;="&amp;day_cash_behind[[#This Row],[Date]]-$G$2, schedule[Finish Date],"&gt;="&amp;day_cash_behind[[#This Row],[Date]]-$G$2)</f>
        <v>0</v>
      </c>
      <c r="H33" s="3">
        <f>SUM(day_cash_behind[[#This Row],[Labor Cost]:[Other Cost]])</f>
        <v>1867.3092698933551</v>
      </c>
      <c r="I33" s="3">
        <f>SUMIFS(schedule[Revenue per Day], schedule[Start Date],"&lt;="&amp;day_cash_behind[[#This Row],[Date]]-$I$2, schedule[Finish Date],"&gt;="&amp;day_cash_behind[[#This Row],[Date]]-$I$2)</f>
        <v>0</v>
      </c>
      <c r="J33" s="3">
        <f>SUM(day_cash_behind[[#Headers],[Labor Cost]]:day_cash_behind[[#This Row],[Labor Cost]])</f>
        <v>41158.736669401136</v>
      </c>
      <c r="K33" s="3">
        <f>SUM(day_cash_behind[[#Headers],[Material Cost]]:day_cash_behind[[#This Row],[Material Cost]])</f>
        <v>0</v>
      </c>
      <c r="L33" s="3">
        <f>SUM(day_cash_behind[[#Headers],[Equipment Cost]]:day_cash_behind[[#This Row],[Equipment Cost]])</f>
        <v>0</v>
      </c>
      <c r="M33" s="3">
        <f>SUM(day_cash_behind[[#Headers],[Sub Cost]]:day_cash_behind[[#This Row],[Sub Cost]])</f>
        <v>0</v>
      </c>
      <c r="N33" s="3">
        <f>SUM(day_cash_behind[[#Headers],[Other Cost]]:day_cash_behind[[#This Row],[Other Cost]])</f>
        <v>0</v>
      </c>
      <c r="O33" s="3">
        <f>SUM(day_cash_behind[[#This Row],[Cumulative Labor]:[Cumulative Other]])</f>
        <v>41158.736669401136</v>
      </c>
      <c r="P33" s="3">
        <f>SUM(day_cash_behind[[#Headers],[Revenue]]:day_cash_behind[[#This Row],[Revenue]])</f>
        <v>0</v>
      </c>
    </row>
    <row r="34" spans="2:16" x14ac:dyDescent="0.45">
      <c r="B34" s="1">
        <v>46417</v>
      </c>
      <c r="C34" s="4">
        <f>SUMIFS(schedule[Labor CPP], schedule[Start Date],"&lt;="&amp;day_cash_behind[[#This Row],[Date]], schedule[Finish Date],"&gt;="&amp;day_cash_behind[[#This Row],[Date]])</f>
        <v>1867.3092698933551</v>
      </c>
      <c r="D34" s="4">
        <f>SUMIFS(schedule[Material CPP], schedule[Start Date],"&lt;="&amp;day_cash_behind[[#This Row],[Date]]-$D$2, schedule[Finish Date],"&gt;="&amp;day_cash_behind[[#This Row],[Date]]-$D$2)</f>
        <v>0</v>
      </c>
      <c r="E34" s="4">
        <f>SUMIFS(schedule[Equipment CPP], schedule[Start Date],"&lt;="&amp;day_cash_behind[[#This Row],[Date]]-$E$2, schedule[Finish Date],"&gt;="&amp;day_cash_behind[[#This Row],[Date]]-$E$2)</f>
        <v>0</v>
      </c>
      <c r="F34" s="4">
        <f>SUMIFS(schedule[Sub CPP], schedule[Start Date],"&lt;="&amp;day_cash_behind[[#This Row],[Date]]-$F$2, schedule[Finish Date],"&gt;="&amp;day_cash_behind[[#This Row],[Date]]-$F$2)</f>
        <v>0</v>
      </c>
      <c r="G34" s="3">
        <f>SUMIFS(schedule[Other CPP], schedule[Start Date],"&lt;="&amp;day_cash_behind[[#This Row],[Date]]-$G$2, schedule[Finish Date],"&gt;="&amp;day_cash_behind[[#This Row],[Date]]-$G$2)</f>
        <v>0</v>
      </c>
      <c r="H34" s="3">
        <f>SUM(day_cash_behind[[#This Row],[Labor Cost]:[Other Cost]])</f>
        <v>1867.3092698933551</v>
      </c>
      <c r="I34" s="3">
        <f>SUMIFS(schedule[Revenue per Day], schedule[Start Date],"&lt;="&amp;day_cash_behind[[#This Row],[Date]]-$I$2, schedule[Finish Date],"&gt;="&amp;day_cash_behind[[#This Row],[Date]]-$I$2)</f>
        <v>0</v>
      </c>
      <c r="J34" s="3">
        <f>SUM(day_cash_behind[[#Headers],[Labor Cost]]:day_cash_behind[[#This Row],[Labor Cost]])</f>
        <v>43026.04593929449</v>
      </c>
      <c r="K34" s="3">
        <f>SUM(day_cash_behind[[#Headers],[Material Cost]]:day_cash_behind[[#This Row],[Material Cost]])</f>
        <v>0</v>
      </c>
      <c r="L34" s="3">
        <f>SUM(day_cash_behind[[#Headers],[Equipment Cost]]:day_cash_behind[[#This Row],[Equipment Cost]])</f>
        <v>0</v>
      </c>
      <c r="M34" s="3">
        <f>SUM(day_cash_behind[[#Headers],[Sub Cost]]:day_cash_behind[[#This Row],[Sub Cost]])</f>
        <v>0</v>
      </c>
      <c r="N34" s="3">
        <f>SUM(day_cash_behind[[#Headers],[Other Cost]]:day_cash_behind[[#This Row],[Other Cost]])</f>
        <v>0</v>
      </c>
      <c r="O34" s="3">
        <f>SUM(day_cash_behind[[#This Row],[Cumulative Labor]:[Cumulative Other]])</f>
        <v>43026.04593929449</v>
      </c>
      <c r="P34" s="3">
        <f>SUM(day_cash_behind[[#Headers],[Revenue]]:day_cash_behind[[#This Row],[Revenue]])</f>
        <v>0</v>
      </c>
    </row>
    <row r="35" spans="2:16" x14ac:dyDescent="0.45">
      <c r="B35" s="1">
        <v>46418</v>
      </c>
      <c r="C35" s="4">
        <f>SUMIFS(schedule[Labor CPP], schedule[Start Date],"&lt;="&amp;day_cash_behind[[#This Row],[Date]], schedule[Finish Date],"&gt;="&amp;day_cash_behind[[#This Row],[Date]])</f>
        <v>1867.3092698933551</v>
      </c>
      <c r="D35" s="4">
        <f>SUMIFS(schedule[Material CPP], schedule[Start Date],"&lt;="&amp;day_cash_behind[[#This Row],[Date]]-$D$2, schedule[Finish Date],"&gt;="&amp;day_cash_behind[[#This Row],[Date]]-$D$2)</f>
        <v>0</v>
      </c>
      <c r="E35" s="4">
        <f>SUMIFS(schedule[Equipment CPP], schedule[Start Date],"&lt;="&amp;day_cash_behind[[#This Row],[Date]]-$E$2, schedule[Finish Date],"&gt;="&amp;day_cash_behind[[#This Row],[Date]]-$E$2)</f>
        <v>0</v>
      </c>
      <c r="F35" s="4">
        <f>SUMIFS(schedule[Sub CPP], schedule[Start Date],"&lt;="&amp;day_cash_behind[[#This Row],[Date]]-$F$2, schedule[Finish Date],"&gt;="&amp;day_cash_behind[[#This Row],[Date]]-$F$2)</f>
        <v>0</v>
      </c>
      <c r="G35" s="3">
        <f>SUMIFS(schedule[Other CPP], schedule[Start Date],"&lt;="&amp;day_cash_behind[[#This Row],[Date]]-$G$2, schedule[Finish Date],"&gt;="&amp;day_cash_behind[[#This Row],[Date]]-$G$2)</f>
        <v>0</v>
      </c>
      <c r="H35" s="3">
        <f>SUM(day_cash_behind[[#This Row],[Labor Cost]:[Other Cost]])</f>
        <v>1867.3092698933551</v>
      </c>
      <c r="I35" s="3">
        <f>SUMIFS(schedule[Revenue per Day], schedule[Start Date],"&lt;="&amp;day_cash_behind[[#This Row],[Date]]-$I$2, schedule[Finish Date],"&gt;="&amp;day_cash_behind[[#This Row],[Date]]-$I$2)</f>
        <v>0</v>
      </c>
      <c r="J35" s="3">
        <f>SUM(day_cash_behind[[#Headers],[Labor Cost]]:day_cash_behind[[#This Row],[Labor Cost]])</f>
        <v>44893.355209187845</v>
      </c>
      <c r="K35" s="3">
        <f>SUM(day_cash_behind[[#Headers],[Material Cost]]:day_cash_behind[[#This Row],[Material Cost]])</f>
        <v>0</v>
      </c>
      <c r="L35" s="3">
        <f>SUM(day_cash_behind[[#Headers],[Equipment Cost]]:day_cash_behind[[#This Row],[Equipment Cost]])</f>
        <v>0</v>
      </c>
      <c r="M35" s="3">
        <f>SUM(day_cash_behind[[#Headers],[Sub Cost]]:day_cash_behind[[#This Row],[Sub Cost]])</f>
        <v>0</v>
      </c>
      <c r="N35" s="3">
        <f>SUM(day_cash_behind[[#Headers],[Other Cost]]:day_cash_behind[[#This Row],[Other Cost]])</f>
        <v>0</v>
      </c>
      <c r="O35" s="3">
        <f>SUM(day_cash_behind[[#This Row],[Cumulative Labor]:[Cumulative Other]])</f>
        <v>44893.355209187845</v>
      </c>
      <c r="P35" s="3">
        <f>SUM(day_cash_behind[[#Headers],[Revenue]]:day_cash_behind[[#This Row],[Revenue]])</f>
        <v>0</v>
      </c>
    </row>
    <row r="36" spans="2:16" x14ac:dyDescent="0.45">
      <c r="B36" s="1">
        <v>46419</v>
      </c>
      <c r="C36" s="4">
        <f>SUMIFS(schedule[Labor CPP], schedule[Start Date],"&lt;="&amp;day_cash_behind[[#This Row],[Date]], schedule[Finish Date],"&gt;="&amp;day_cash_behind[[#This Row],[Date]])</f>
        <v>1867.3092698933551</v>
      </c>
      <c r="D36" s="4">
        <f>SUMIFS(schedule[Material CPP], schedule[Start Date],"&lt;="&amp;day_cash_behind[[#This Row],[Date]]-$D$2, schedule[Finish Date],"&gt;="&amp;day_cash_behind[[#This Row],[Date]]-$D$2)</f>
        <v>0</v>
      </c>
      <c r="E36" s="4">
        <f>SUMIFS(schedule[Equipment CPP], schedule[Start Date],"&lt;="&amp;day_cash_behind[[#This Row],[Date]]-$E$2, schedule[Finish Date],"&gt;="&amp;day_cash_behind[[#This Row],[Date]]-$E$2)</f>
        <v>0</v>
      </c>
      <c r="F36" s="4">
        <f>SUMIFS(schedule[Sub CPP], schedule[Start Date],"&lt;="&amp;day_cash_behind[[#This Row],[Date]]-$F$2, schedule[Finish Date],"&gt;="&amp;day_cash_behind[[#This Row],[Date]]-$F$2)</f>
        <v>0</v>
      </c>
      <c r="G36" s="3">
        <f>SUMIFS(schedule[Other CPP], schedule[Start Date],"&lt;="&amp;day_cash_behind[[#This Row],[Date]]-$G$2, schedule[Finish Date],"&gt;="&amp;day_cash_behind[[#This Row],[Date]]-$G$2)</f>
        <v>0</v>
      </c>
      <c r="H36" s="3">
        <f>SUM(day_cash_behind[[#This Row],[Labor Cost]:[Other Cost]])</f>
        <v>1867.3092698933551</v>
      </c>
      <c r="I36" s="3">
        <f>SUMIFS(schedule[Revenue per Day], schedule[Start Date],"&lt;="&amp;day_cash_behind[[#This Row],[Date]]-$I$2, schedule[Finish Date],"&gt;="&amp;day_cash_behind[[#This Row],[Date]]-$I$2)</f>
        <v>0</v>
      </c>
      <c r="J36" s="3">
        <f>SUM(day_cash_behind[[#Headers],[Labor Cost]]:day_cash_behind[[#This Row],[Labor Cost]])</f>
        <v>46760.664479081199</v>
      </c>
      <c r="K36" s="3">
        <f>SUM(day_cash_behind[[#Headers],[Material Cost]]:day_cash_behind[[#This Row],[Material Cost]])</f>
        <v>0</v>
      </c>
      <c r="L36" s="3">
        <f>SUM(day_cash_behind[[#Headers],[Equipment Cost]]:day_cash_behind[[#This Row],[Equipment Cost]])</f>
        <v>0</v>
      </c>
      <c r="M36" s="3">
        <f>SUM(day_cash_behind[[#Headers],[Sub Cost]]:day_cash_behind[[#This Row],[Sub Cost]])</f>
        <v>0</v>
      </c>
      <c r="N36" s="3">
        <f>SUM(day_cash_behind[[#Headers],[Other Cost]]:day_cash_behind[[#This Row],[Other Cost]])</f>
        <v>0</v>
      </c>
      <c r="O36" s="3">
        <f>SUM(day_cash_behind[[#This Row],[Cumulative Labor]:[Cumulative Other]])</f>
        <v>46760.664479081199</v>
      </c>
      <c r="P36" s="3">
        <f>SUM(day_cash_behind[[#Headers],[Revenue]]:day_cash_behind[[#This Row],[Revenue]])</f>
        <v>0</v>
      </c>
    </row>
    <row r="37" spans="2:16" x14ac:dyDescent="0.45">
      <c r="B37" s="1">
        <v>46420</v>
      </c>
      <c r="C37" s="4">
        <f>SUMIFS(schedule[Labor CPP], schedule[Start Date],"&lt;="&amp;day_cash_behind[[#This Row],[Date]], schedule[Finish Date],"&gt;="&amp;day_cash_behind[[#This Row],[Date]])</f>
        <v>1867.3092698933551</v>
      </c>
      <c r="D37" s="4">
        <f>SUMIFS(schedule[Material CPP], schedule[Start Date],"&lt;="&amp;day_cash_behind[[#This Row],[Date]]-$D$2, schedule[Finish Date],"&gt;="&amp;day_cash_behind[[#This Row],[Date]]-$D$2)</f>
        <v>0</v>
      </c>
      <c r="E37" s="4">
        <f>SUMIFS(schedule[Equipment CPP], schedule[Start Date],"&lt;="&amp;day_cash_behind[[#This Row],[Date]]-$E$2, schedule[Finish Date],"&gt;="&amp;day_cash_behind[[#This Row],[Date]]-$E$2)</f>
        <v>0</v>
      </c>
      <c r="F37" s="4">
        <f>SUMIFS(schedule[Sub CPP], schedule[Start Date],"&lt;="&amp;day_cash_behind[[#This Row],[Date]]-$F$2, schedule[Finish Date],"&gt;="&amp;day_cash_behind[[#This Row],[Date]]-$F$2)</f>
        <v>0</v>
      </c>
      <c r="G37" s="3">
        <f>SUMIFS(schedule[Other CPP], schedule[Start Date],"&lt;="&amp;day_cash_behind[[#This Row],[Date]]-$G$2, schedule[Finish Date],"&gt;="&amp;day_cash_behind[[#This Row],[Date]]-$G$2)</f>
        <v>0</v>
      </c>
      <c r="H37" s="3">
        <f>SUM(day_cash_behind[[#This Row],[Labor Cost]:[Other Cost]])</f>
        <v>1867.3092698933551</v>
      </c>
      <c r="I37" s="3">
        <f>SUMIFS(schedule[Revenue per Day], schedule[Start Date],"&lt;="&amp;day_cash_behind[[#This Row],[Date]]-$I$2, schedule[Finish Date],"&gt;="&amp;day_cash_behind[[#This Row],[Date]]-$I$2)</f>
        <v>0</v>
      </c>
      <c r="J37" s="3">
        <f>SUM(day_cash_behind[[#Headers],[Labor Cost]]:day_cash_behind[[#This Row],[Labor Cost]])</f>
        <v>48627.973748974553</v>
      </c>
      <c r="K37" s="3">
        <f>SUM(day_cash_behind[[#Headers],[Material Cost]]:day_cash_behind[[#This Row],[Material Cost]])</f>
        <v>0</v>
      </c>
      <c r="L37" s="3">
        <f>SUM(day_cash_behind[[#Headers],[Equipment Cost]]:day_cash_behind[[#This Row],[Equipment Cost]])</f>
        <v>0</v>
      </c>
      <c r="M37" s="3">
        <f>SUM(day_cash_behind[[#Headers],[Sub Cost]]:day_cash_behind[[#This Row],[Sub Cost]])</f>
        <v>0</v>
      </c>
      <c r="N37" s="3">
        <f>SUM(day_cash_behind[[#Headers],[Other Cost]]:day_cash_behind[[#This Row],[Other Cost]])</f>
        <v>0</v>
      </c>
      <c r="O37" s="3">
        <f>SUM(day_cash_behind[[#This Row],[Cumulative Labor]:[Cumulative Other]])</f>
        <v>48627.973748974553</v>
      </c>
      <c r="P37" s="3">
        <f>SUM(day_cash_behind[[#Headers],[Revenue]]:day_cash_behind[[#This Row],[Revenue]])</f>
        <v>0</v>
      </c>
    </row>
    <row r="38" spans="2:16" x14ac:dyDescent="0.45">
      <c r="B38" s="1">
        <v>46421</v>
      </c>
      <c r="C38" s="4">
        <f>SUMIFS(schedule[Labor CPP], schedule[Start Date],"&lt;="&amp;day_cash_behind[[#This Row],[Date]], schedule[Finish Date],"&gt;="&amp;day_cash_behind[[#This Row],[Date]])</f>
        <v>1867.3092698933551</v>
      </c>
      <c r="D38" s="4">
        <f>SUMIFS(schedule[Material CPP], schedule[Start Date],"&lt;="&amp;day_cash_behind[[#This Row],[Date]]-$D$2, schedule[Finish Date],"&gt;="&amp;day_cash_behind[[#This Row],[Date]]-$D$2)</f>
        <v>0</v>
      </c>
      <c r="E38" s="4">
        <f>SUMIFS(schedule[Equipment CPP], schedule[Start Date],"&lt;="&amp;day_cash_behind[[#This Row],[Date]]-$E$2, schedule[Finish Date],"&gt;="&amp;day_cash_behind[[#This Row],[Date]]-$E$2)</f>
        <v>471.69811320754718</v>
      </c>
      <c r="F38" s="4">
        <f>SUMIFS(schedule[Sub CPP], schedule[Start Date],"&lt;="&amp;day_cash_behind[[#This Row],[Date]]-$F$2, schedule[Finish Date],"&gt;="&amp;day_cash_behind[[#This Row],[Date]]-$F$2)</f>
        <v>0</v>
      </c>
      <c r="G38" s="3">
        <f>SUMIFS(schedule[Other CPP], schedule[Start Date],"&lt;="&amp;day_cash_behind[[#This Row],[Date]]-$G$2, schedule[Finish Date],"&gt;="&amp;day_cash_behind[[#This Row],[Date]]-$G$2)</f>
        <v>314.46540880503147</v>
      </c>
      <c r="H38" s="3">
        <f>SUM(day_cash_behind[[#This Row],[Labor Cost]:[Other Cost]])</f>
        <v>2653.4727919059337</v>
      </c>
      <c r="I38" s="3">
        <f>SUMIFS(schedule[Revenue per Day], schedule[Start Date],"&lt;="&amp;day_cash_behind[[#This Row],[Date]]-$I$2, schedule[Finish Date],"&gt;="&amp;day_cash_behind[[#This Row],[Date]]-$I$2)</f>
        <v>0</v>
      </c>
      <c r="J38" s="3">
        <f>SUM(day_cash_behind[[#Headers],[Labor Cost]]:day_cash_behind[[#This Row],[Labor Cost]])</f>
        <v>50495.283018867907</v>
      </c>
      <c r="K38" s="3">
        <f>SUM(day_cash_behind[[#Headers],[Material Cost]]:day_cash_behind[[#This Row],[Material Cost]])</f>
        <v>0</v>
      </c>
      <c r="L38" s="3">
        <f>SUM(day_cash_behind[[#Headers],[Equipment Cost]]:day_cash_behind[[#This Row],[Equipment Cost]])</f>
        <v>471.69811320754718</v>
      </c>
      <c r="M38" s="3">
        <f>SUM(day_cash_behind[[#Headers],[Sub Cost]]:day_cash_behind[[#This Row],[Sub Cost]])</f>
        <v>0</v>
      </c>
      <c r="N38" s="3">
        <f>SUM(day_cash_behind[[#Headers],[Other Cost]]:day_cash_behind[[#This Row],[Other Cost]])</f>
        <v>314.46540880503147</v>
      </c>
      <c r="O38" s="3">
        <f>SUM(day_cash_behind[[#This Row],[Cumulative Labor]:[Cumulative Other]])</f>
        <v>51281.446540880483</v>
      </c>
      <c r="P38" s="3">
        <f>SUM(day_cash_behind[[#Headers],[Revenue]]:day_cash_behind[[#This Row],[Revenue]])</f>
        <v>0</v>
      </c>
    </row>
    <row r="39" spans="2:16" x14ac:dyDescent="0.45">
      <c r="B39" s="1">
        <v>46422</v>
      </c>
      <c r="C39" s="4">
        <f>SUMIFS(schedule[Labor CPP], schedule[Start Date],"&lt;="&amp;day_cash_behind[[#This Row],[Date]], schedule[Finish Date],"&gt;="&amp;day_cash_behind[[#This Row],[Date]])</f>
        <v>1867.3092698933551</v>
      </c>
      <c r="D39" s="4">
        <f>SUMIFS(schedule[Material CPP], schedule[Start Date],"&lt;="&amp;day_cash_behind[[#This Row],[Date]]-$D$2, schedule[Finish Date],"&gt;="&amp;day_cash_behind[[#This Row],[Date]]-$D$2)</f>
        <v>0</v>
      </c>
      <c r="E39" s="4">
        <f>SUMIFS(schedule[Equipment CPP], schedule[Start Date],"&lt;="&amp;day_cash_behind[[#This Row],[Date]]-$E$2, schedule[Finish Date],"&gt;="&amp;day_cash_behind[[#This Row],[Date]]-$E$2)</f>
        <v>471.69811320754718</v>
      </c>
      <c r="F39" s="4">
        <f>SUMIFS(schedule[Sub CPP], schedule[Start Date],"&lt;="&amp;day_cash_behind[[#This Row],[Date]]-$F$2, schedule[Finish Date],"&gt;="&amp;day_cash_behind[[#This Row],[Date]]-$F$2)</f>
        <v>0</v>
      </c>
      <c r="G39" s="3">
        <f>SUMIFS(schedule[Other CPP], schedule[Start Date],"&lt;="&amp;day_cash_behind[[#This Row],[Date]]-$G$2, schedule[Finish Date],"&gt;="&amp;day_cash_behind[[#This Row],[Date]]-$G$2)</f>
        <v>314.46540880503147</v>
      </c>
      <c r="H39" s="3">
        <f>SUM(day_cash_behind[[#This Row],[Labor Cost]:[Other Cost]])</f>
        <v>2653.4727919059337</v>
      </c>
      <c r="I39" s="3">
        <f>SUMIFS(schedule[Revenue per Day], schedule[Start Date],"&lt;="&amp;day_cash_behind[[#This Row],[Date]]-$I$2, schedule[Finish Date],"&gt;="&amp;day_cash_behind[[#This Row],[Date]]-$I$2)</f>
        <v>0</v>
      </c>
      <c r="J39" s="3">
        <f>SUM(day_cash_behind[[#Headers],[Labor Cost]]:day_cash_behind[[#This Row],[Labor Cost]])</f>
        <v>52362.592288761261</v>
      </c>
      <c r="K39" s="3">
        <f>SUM(day_cash_behind[[#Headers],[Material Cost]]:day_cash_behind[[#This Row],[Material Cost]])</f>
        <v>0</v>
      </c>
      <c r="L39" s="3">
        <f>SUM(day_cash_behind[[#Headers],[Equipment Cost]]:day_cash_behind[[#This Row],[Equipment Cost]])</f>
        <v>943.39622641509436</v>
      </c>
      <c r="M39" s="3">
        <f>SUM(day_cash_behind[[#Headers],[Sub Cost]]:day_cash_behind[[#This Row],[Sub Cost]])</f>
        <v>0</v>
      </c>
      <c r="N39" s="3">
        <f>SUM(day_cash_behind[[#Headers],[Other Cost]]:day_cash_behind[[#This Row],[Other Cost]])</f>
        <v>628.93081761006295</v>
      </c>
      <c r="O39" s="3">
        <f>SUM(day_cash_behind[[#This Row],[Cumulative Labor]:[Cumulative Other]])</f>
        <v>53934.91933278642</v>
      </c>
      <c r="P39" s="3">
        <f>SUM(day_cash_behind[[#Headers],[Revenue]]:day_cash_behind[[#This Row],[Revenue]])</f>
        <v>0</v>
      </c>
    </row>
    <row r="40" spans="2:16" x14ac:dyDescent="0.45">
      <c r="B40" s="1">
        <v>46423</v>
      </c>
      <c r="C40" s="4">
        <f>SUMIFS(schedule[Labor CPP], schedule[Start Date],"&lt;="&amp;day_cash_behind[[#This Row],[Date]], schedule[Finish Date],"&gt;="&amp;day_cash_behind[[#This Row],[Date]])</f>
        <v>1867.3092698933551</v>
      </c>
      <c r="D40" s="4">
        <f>SUMIFS(schedule[Material CPP], schedule[Start Date],"&lt;="&amp;day_cash_behind[[#This Row],[Date]]-$D$2, schedule[Finish Date],"&gt;="&amp;day_cash_behind[[#This Row],[Date]]-$D$2)</f>
        <v>0</v>
      </c>
      <c r="E40" s="4">
        <f>SUMIFS(schedule[Equipment CPP], schedule[Start Date],"&lt;="&amp;day_cash_behind[[#This Row],[Date]]-$E$2, schedule[Finish Date],"&gt;="&amp;day_cash_behind[[#This Row],[Date]]-$E$2)</f>
        <v>471.69811320754718</v>
      </c>
      <c r="F40" s="4">
        <f>SUMIFS(schedule[Sub CPP], schedule[Start Date],"&lt;="&amp;day_cash_behind[[#This Row],[Date]]-$F$2, schedule[Finish Date],"&gt;="&amp;day_cash_behind[[#This Row],[Date]]-$F$2)</f>
        <v>0</v>
      </c>
      <c r="G40" s="3">
        <f>SUMIFS(schedule[Other CPP], schedule[Start Date],"&lt;="&amp;day_cash_behind[[#This Row],[Date]]-$G$2, schedule[Finish Date],"&gt;="&amp;day_cash_behind[[#This Row],[Date]]-$G$2)</f>
        <v>314.46540880503147</v>
      </c>
      <c r="H40" s="3">
        <f>SUM(day_cash_behind[[#This Row],[Labor Cost]:[Other Cost]])</f>
        <v>2653.4727919059337</v>
      </c>
      <c r="I40" s="3">
        <f>SUMIFS(schedule[Revenue per Day], schedule[Start Date],"&lt;="&amp;day_cash_behind[[#This Row],[Date]]-$I$2, schedule[Finish Date],"&gt;="&amp;day_cash_behind[[#This Row],[Date]]-$I$2)</f>
        <v>0</v>
      </c>
      <c r="J40" s="3">
        <f>SUM(day_cash_behind[[#Headers],[Labor Cost]]:day_cash_behind[[#This Row],[Labor Cost]])</f>
        <v>54229.901558654616</v>
      </c>
      <c r="K40" s="3">
        <f>SUM(day_cash_behind[[#Headers],[Material Cost]]:day_cash_behind[[#This Row],[Material Cost]])</f>
        <v>0</v>
      </c>
      <c r="L40" s="3">
        <f>SUM(day_cash_behind[[#Headers],[Equipment Cost]]:day_cash_behind[[#This Row],[Equipment Cost]])</f>
        <v>1415.0943396226417</v>
      </c>
      <c r="M40" s="3">
        <f>SUM(day_cash_behind[[#Headers],[Sub Cost]]:day_cash_behind[[#This Row],[Sub Cost]])</f>
        <v>0</v>
      </c>
      <c r="N40" s="3">
        <f>SUM(day_cash_behind[[#Headers],[Other Cost]]:day_cash_behind[[#This Row],[Other Cost]])</f>
        <v>943.39622641509436</v>
      </c>
      <c r="O40" s="3">
        <f>SUM(day_cash_behind[[#This Row],[Cumulative Labor]:[Cumulative Other]])</f>
        <v>56588.392124692356</v>
      </c>
      <c r="P40" s="3">
        <f>SUM(day_cash_behind[[#Headers],[Revenue]]:day_cash_behind[[#This Row],[Revenue]])</f>
        <v>0</v>
      </c>
    </row>
    <row r="41" spans="2:16" x14ac:dyDescent="0.45">
      <c r="B41" s="1">
        <v>46424</v>
      </c>
      <c r="C41" s="4">
        <f>SUMIFS(schedule[Labor CPP], schedule[Start Date],"&lt;="&amp;day_cash_behind[[#This Row],[Date]], schedule[Finish Date],"&gt;="&amp;day_cash_behind[[#This Row],[Date]])</f>
        <v>1867.3092698933551</v>
      </c>
      <c r="D41" s="4">
        <f>SUMIFS(schedule[Material CPP], schedule[Start Date],"&lt;="&amp;day_cash_behind[[#This Row],[Date]]-$D$2, schedule[Finish Date],"&gt;="&amp;day_cash_behind[[#This Row],[Date]]-$D$2)</f>
        <v>0</v>
      </c>
      <c r="E41" s="4">
        <f>SUMIFS(schedule[Equipment CPP], schedule[Start Date],"&lt;="&amp;day_cash_behind[[#This Row],[Date]]-$E$2, schedule[Finish Date],"&gt;="&amp;day_cash_behind[[#This Row],[Date]]-$E$2)</f>
        <v>471.69811320754718</v>
      </c>
      <c r="F41" s="4">
        <f>SUMIFS(schedule[Sub CPP], schedule[Start Date],"&lt;="&amp;day_cash_behind[[#This Row],[Date]]-$F$2, schedule[Finish Date],"&gt;="&amp;day_cash_behind[[#This Row],[Date]]-$F$2)</f>
        <v>0</v>
      </c>
      <c r="G41" s="3">
        <f>SUMIFS(schedule[Other CPP], schedule[Start Date],"&lt;="&amp;day_cash_behind[[#This Row],[Date]]-$G$2, schedule[Finish Date],"&gt;="&amp;day_cash_behind[[#This Row],[Date]]-$G$2)</f>
        <v>314.46540880503147</v>
      </c>
      <c r="H41" s="3">
        <f>SUM(day_cash_behind[[#This Row],[Labor Cost]:[Other Cost]])</f>
        <v>2653.4727919059337</v>
      </c>
      <c r="I41" s="3">
        <f>SUMIFS(schedule[Revenue per Day], schedule[Start Date],"&lt;="&amp;day_cash_behind[[#This Row],[Date]]-$I$2, schedule[Finish Date],"&gt;="&amp;day_cash_behind[[#This Row],[Date]]-$I$2)</f>
        <v>0</v>
      </c>
      <c r="J41" s="3">
        <f>SUM(day_cash_behind[[#Headers],[Labor Cost]]:day_cash_behind[[#This Row],[Labor Cost]])</f>
        <v>56097.21082854797</v>
      </c>
      <c r="K41" s="3">
        <f>SUM(day_cash_behind[[#Headers],[Material Cost]]:day_cash_behind[[#This Row],[Material Cost]])</f>
        <v>0</v>
      </c>
      <c r="L41" s="3">
        <f>SUM(day_cash_behind[[#Headers],[Equipment Cost]]:day_cash_behind[[#This Row],[Equipment Cost]])</f>
        <v>1886.7924528301887</v>
      </c>
      <c r="M41" s="3">
        <f>SUM(day_cash_behind[[#Headers],[Sub Cost]]:day_cash_behind[[#This Row],[Sub Cost]])</f>
        <v>0</v>
      </c>
      <c r="N41" s="3">
        <f>SUM(day_cash_behind[[#Headers],[Other Cost]]:day_cash_behind[[#This Row],[Other Cost]])</f>
        <v>1257.8616352201259</v>
      </c>
      <c r="O41" s="3">
        <f>SUM(day_cash_behind[[#This Row],[Cumulative Labor]:[Cumulative Other]])</f>
        <v>59241.864916598286</v>
      </c>
      <c r="P41" s="3">
        <f>SUM(day_cash_behind[[#Headers],[Revenue]]:day_cash_behind[[#This Row],[Revenue]])</f>
        <v>0</v>
      </c>
    </row>
    <row r="42" spans="2:16" x14ac:dyDescent="0.45">
      <c r="B42" s="1">
        <v>46425</v>
      </c>
      <c r="C42" s="4">
        <f>SUMIFS(schedule[Labor CPP], schedule[Start Date],"&lt;="&amp;day_cash_behind[[#This Row],[Date]], schedule[Finish Date],"&gt;="&amp;day_cash_behind[[#This Row],[Date]])</f>
        <v>1867.3092698933551</v>
      </c>
      <c r="D42" s="4">
        <f>SUMIFS(schedule[Material CPP], schedule[Start Date],"&lt;="&amp;day_cash_behind[[#This Row],[Date]]-$D$2, schedule[Finish Date],"&gt;="&amp;day_cash_behind[[#This Row],[Date]]-$D$2)</f>
        <v>0</v>
      </c>
      <c r="E42" s="4">
        <f>SUMIFS(schedule[Equipment CPP], schedule[Start Date],"&lt;="&amp;day_cash_behind[[#This Row],[Date]]-$E$2, schedule[Finish Date],"&gt;="&amp;day_cash_behind[[#This Row],[Date]]-$E$2)</f>
        <v>471.69811320754718</v>
      </c>
      <c r="F42" s="4">
        <f>SUMIFS(schedule[Sub CPP], schedule[Start Date],"&lt;="&amp;day_cash_behind[[#This Row],[Date]]-$F$2, schedule[Finish Date],"&gt;="&amp;day_cash_behind[[#This Row],[Date]]-$F$2)</f>
        <v>0</v>
      </c>
      <c r="G42" s="3">
        <f>SUMIFS(schedule[Other CPP], schedule[Start Date],"&lt;="&amp;day_cash_behind[[#This Row],[Date]]-$G$2, schedule[Finish Date],"&gt;="&amp;day_cash_behind[[#This Row],[Date]]-$G$2)</f>
        <v>314.46540880503147</v>
      </c>
      <c r="H42" s="3">
        <f>SUM(day_cash_behind[[#This Row],[Labor Cost]:[Other Cost]])</f>
        <v>2653.4727919059337</v>
      </c>
      <c r="I42" s="3">
        <f>SUMIFS(schedule[Revenue per Day], schedule[Start Date],"&lt;="&amp;day_cash_behind[[#This Row],[Date]]-$I$2, schedule[Finish Date],"&gt;="&amp;day_cash_behind[[#This Row],[Date]]-$I$2)</f>
        <v>0</v>
      </c>
      <c r="J42" s="3">
        <f>SUM(day_cash_behind[[#Headers],[Labor Cost]]:day_cash_behind[[#This Row],[Labor Cost]])</f>
        <v>57964.520098441324</v>
      </c>
      <c r="K42" s="3">
        <f>SUM(day_cash_behind[[#Headers],[Material Cost]]:day_cash_behind[[#This Row],[Material Cost]])</f>
        <v>0</v>
      </c>
      <c r="L42" s="3">
        <f>SUM(day_cash_behind[[#Headers],[Equipment Cost]]:day_cash_behind[[#This Row],[Equipment Cost]])</f>
        <v>2358.4905660377358</v>
      </c>
      <c r="M42" s="3">
        <f>SUM(day_cash_behind[[#Headers],[Sub Cost]]:day_cash_behind[[#This Row],[Sub Cost]])</f>
        <v>0</v>
      </c>
      <c r="N42" s="3">
        <f>SUM(day_cash_behind[[#Headers],[Other Cost]]:day_cash_behind[[#This Row],[Other Cost]])</f>
        <v>1572.3270440251574</v>
      </c>
      <c r="O42" s="3">
        <f>SUM(day_cash_behind[[#This Row],[Cumulative Labor]:[Cumulative Other]])</f>
        <v>61895.337708504216</v>
      </c>
      <c r="P42" s="3">
        <f>SUM(day_cash_behind[[#Headers],[Revenue]]:day_cash_behind[[#This Row],[Revenue]])</f>
        <v>0</v>
      </c>
    </row>
    <row r="43" spans="2:16" x14ac:dyDescent="0.45">
      <c r="B43" s="1">
        <v>46426</v>
      </c>
      <c r="C43" s="4">
        <f>SUMIFS(schedule[Labor CPP], schedule[Start Date],"&lt;="&amp;day_cash_behind[[#This Row],[Date]], schedule[Finish Date],"&gt;="&amp;day_cash_behind[[#This Row],[Date]])</f>
        <v>1867.3092698933551</v>
      </c>
      <c r="D43" s="4">
        <f>SUMIFS(schedule[Material CPP], schedule[Start Date],"&lt;="&amp;day_cash_behind[[#This Row],[Date]]-$D$2, schedule[Finish Date],"&gt;="&amp;day_cash_behind[[#This Row],[Date]]-$D$2)</f>
        <v>0</v>
      </c>
      <c r="E43" s="4">
        <f>SUMIFS(schedule[Equipment CPP], schedule[Start Date],"&lt;="&amp;day_cash_behind[[#This Row],[Date]]-$E$2, schedule[Finish Date],"&gt;="&amp;day_cash_behind[[#This Row],[Date]]-$E$2)</f>
        <v>471.69811320754718</v>
      </c>
      <c r="F43" s="4">
        <f>SUMIFS(schedule[Sub CPP], schedule[Start Date],"&lt;="&amp;day_cash_behind[[#This Row],[Date]]-$F$2, schedule[Finish Date],"&gt;="&amp;day_cash_behind[[#This Row],[Date]]-$F$2)</f>
        <v>0</v>
      </c>
      <c r="G43" s="3">
        <f>SUMIFS(schedule[Other CPP], schedule[Start Date],"&lt;="&amp;day_cash_behind[[#This Row],[Date]]-$G$2, schedule[Finish Date],"&gt;="&amp;day_cash_behind[[#This Row],[Date]]-$G$2)</f>
        <v>314.46540880503147</v>
      </c>
      <c r="H43" s="3">
        <f>SUM(day_cash_behind[[#This Row],[Labor Cost]:[Other Cost]])</f>
        <v>2653.4727919059337</v>
      </c>
      <c r="I43" s="3">
        <f>SUMIFS(schedule[Revenue per Day], schedule[Start Date],"&lt;="&amp;day_cash_behind[[#This Row],[Date]]-$I$2, schedule[Finish Date],"&gt;="&amp;day_cash_behind[[#This Row],[Date]]-$I$2)</f>
        <v>0</v>
      </c>
      <c r="J43" s="3">
        <f>SUM(day_cash_behind[[#Headers],[Labor Cost]]:day_cash_behind[[#This Row],[Labor Cost]])</f>
        <v>59831.829368334678</v>
      </c>
      <c r="K43" s="3">
        <f>SUM(day_cash_behind[[#Headers],[Material Cost]]:day_cash_behind[[#This Row],[Material Cost]])</f>
        <v>0</v>
      </c>
      <c r="L43" s="3">
        <f>SUM(day_cash_behind[[#Headers],[Equipment Cost]]:day_cash_behind[[#This Row],[Equipment Cost]])</f>
        <v>2830.1886792452829</v>
      </c>
      <c r="M43" s="3">
        <f>SUM(day_cash_behind[[#Headers],[Sub Cost]]:day_cash_behind[[#This Row],[Sub Cost]])</f>
        <v>0</v>
      </c>
      <c r="N43" s="3">
        <f>SUM(day_cash_behind[[#Headers],[Other Cost]]:day_cash_behind[[#This Row],[Other Cost]])</f>
        <v>1886.7924528301889</v>
      </c>
      <c r="O43" s="3">
        <f>SUM(day_cash_behind[[#This Row],[Cumulative Labor]:[Cumulative Other]])</f>
        <v>64548.810500410153</v>
      </c>
      <c r="P43" s="3">
        <f>SUM(day_cash_behind[[#Headers],[Revenue]]:day_cash_behind[[#This Row],[Revenue]])</f>
        <v>0</v>
      </c>
    </row>
    <row r="44" spans="2:16" x14ac:dyDescent="0.45">
      <c r="B44" s="1">
        <v>46427</v>
      </c>
      <c r="C44" s="4">
        <f>SUMIFS(schedule[Labor CPP], schedule[Start Date],"&lt;="&amp;day_cash_behind[[#This Row],[Date]], schedule[Finish Date],"&gt;="&amp;day_cash_behind[[#This Row],[Date]])</f>
        <v>1867.3092698933551</v>
      </c>
      <c r="D44" s="4">
        <f>SUMIFS(schedule[Material CPP], schedule[Start Date],"&lt;="&amp;day_cash_behind[[#This Row],[Date]]-$D$2, schedule[Finish Date],"&gt;="&amp;day_cash_behind[[#This Row],[Date]]-$D$2)</f>
        <v>0</v>
      </c>
      <c r="E44" s="4">
        <f>SUMIFS(schedule[Equipment CPP], schedule[Start Date],"&lt;="&amp;day_cash_behind[[#This Row],[Date]]-$E$2, schedule[Finish Date],"&gt;="&amp;day_cash_behind[[#This Row],[Date]]-$E$2)</f>
        <v>471.69811320754718</v>
      </c>
      <c r="F44" s="4">
        <f>SUMIFS(schedule[Sub CPP], schedule[Start Date],"&lt;="&amp;day_cash_behind[[#This Row],[Date]]-$F$2, schedule[Finish Date],"&gt;="&amp;day_cash_behind[[#This Row],[Date]]-$F$2)</f>
        <v>0</v>
      </c>
      <c r="G44" s="3">
        <f>SUMIFS(schedule[Other CPP], schedule[Start Date],"&lt;="&amp;day_cash_behind[[#This Row],[Date]]-$G$2, schedule[Finish Date],"&gt;="&amp;day_cash_behind[[#This Row],[Date]]-$G$2)</f>
        <v>314.46540880503147</v>
      </c>
      <c r="H44" s="3">
        <f>SUM(day_cash_behind[[#This Row],[Labor Cost]:[Other Cost]])</f>
        <v>2653.4727919059337</v>
      </c>
      <c r="I44" s="3">
        <f>SUMIFS(schedule[Revenue per Day], schedule[Start Date],"&lt;="&amp;day_cash_behind[[#This Row],[Date]]-$I$2, schedule[Finish Date],"&gt;="&amp;day_cash_behind[[#This Row],[Date]]-$I$2)</f>
        <v>0</v>
      </c>
      <c r="J44" s="3">
        <f>SUM(day_cash_behind[[#Headers],[Labor Cost]]:day_cash_behind[[#This Row],[Labor Cost]])</f>
        <v>61699.138638228033</v>
      </c>
      <c r="K44" s="3">
        <f>SUM(day_cash_behind[[#Headers],[Material Cost]]:day_cash_behind[[#This Row],[Material Cost]])</f>
        <v>0</v>
      </c>
      <c r="L44" s="3">
        <f>SUM(day_cash_behind[[#Headers],[Equipment Cost]]:day_cash_behind[[#This Row],[Equipment Cost]])</f>
        <v>3301.8867924528299</v>
      </c>
      <c r="M44" s="3">
        <f>SUM(day_cash_behind[[#Headers],[Sub Cost]]:day_cash_behind[[#This Row],[Sub Cost]])</f>
        <v>0</v>
      </c>
      <c r="N44" s="3">
        <f>SUM(day_cash_behind[[#Headers],[Other Cost]]:day_cash_behind[[#This Row],[Other Cost]])</f>
        <v>2201.2578616352203</v>
      </c>
      <c r="O44" s="3">
        <f>SUM(day_cash_behind[[#This Row],[Cumulative Labor]:[Cumulative Other]])</f>
        <v>67202.28329231609</v>
      </c>
      <c r="P44" s="3">
        <f>SUM(day_cash_behind[[#Headers],[Revenue]]:day_cash_behind[[#This Row],[Revenue]])</f>
        <v>0</v>
      </c>
    </row>
    <row r="45" spans="2:16" x14ac:dyDescent="0.45">
      <c r="B45" s="1">
        <v>46428</v>
      </c>
      <c r="C45" s="4">
        <f>SUMIFS(schedule[Labor CPP], schedule[Start Date],"&lt;="&amp;day_cash_behind[[#This Row],[Date]], schedule[Finish Date],"&gt;="&amp;day_cash_behind[[#This Row],[Date]])</f>
        <v>1867.3092698933551</v>
      </c>
      <c r="D45" s="4">
        <f>SUMIFS(schedule[Material CPP], schedule[Start Date],"&lt;="&amp;day_cash_behind[[#This Row],[Date]]-$D$2, schedule[Finish Date],"&gt;="&amp;day_cash_behind[[#This Row],[Date]]-$D$2)</f>
        <v>0</v>
      </c>
      <c r="E45" s="4">
        <f>SUMIFS(schedule[Equipment CPP], schedule[Start Date],"&lt;="&amp;day_cash_behind[[#This Row],[Date]]-$E$2, schedule[Finish Date],"&gt;="&amp;day_cash_behind[[#This Row],[Date]]-$E$2)</f>
        <v>471.69811320754718</v>
      </c>
      <c r="F45" s="4">
        <f>SUMIFS(schedule[Sub CPP], schedule[Start Date],"&lt;="&amp;day_cash_behind[[#This Row],[Date]]-$F$2, schedule[Finish Date],"&gt;="&amp;day_cash_behind[[#This Row],[Date]]-$F$2)</f>
        <v>0</v>
      </c>
      <c r="G45" s="3">
        <f>SUMIFS(schedule[Other CPP], schedule[Start Date],"&lt;="&amp;day_cash_behind[[#This Row],[Date]]-$G$2, schedule[Finish Date],"&gt;="&amp;day_cash_behind[[#This Row],[Date]]-$G$2)</f>
        <v>314.46540880503147</v>
      </c>
      <c r="H45" s="3">
        <f>SUM(day_cash_behind[[#This Row],[Labor Cost]:[Other Cost]])</f>
        <v>2653.4727919059337</v>
      </c>
      <c r="I45" s="3">
        <f>SUMIFS(schedule[Revenue per Day], schedule[Start Date],"&lt;="&amp;day_cash_behind[[#This Row],[Date]]-$I$2, schedule[Finish Date],"&gt;="&amp;day_cash_behind[[#This Row],[Date]]-$I$2)</f>
        <v>0</v>
      </c>
      <c r="J45" s="3">
        <f>SUM(day_cash_behind[[#Headers],[Labor Cost]]:day_cash_behind[[#This Row],[Labor Cost]])</f>
        <v>63566.447908121387</v>
      </c>
      <c r="K45" s="3">
        <f>SUM(day_cash_behind[[#Headers],[Material Cost]]:day_cash_behind[[#This Row],[Material Cost]])</f>
        <v>0</v>
      </c>
      <c r="L45" s="3">
        <f>SUM(day_cash_behind[[#Headers],[Equipment Cost]]:day_cash_behind[[#This Row],[Equipment Cost]])</f>
        <v>3773.584905660377</v>
      </c>
      <c r="M45" s="3">
        <f>SUM(day_cash_behind[[#Headers],[Sub Cost]]:day_cash_behind[[#This Row],[Sub Cost]])</f>
        <v>0</v>
      </c>
      <c r="N45" s="3">
        <f>SUM(day_cash_behind[[#Headers],[Other Cost]]:day_cash_behind[[#This Row],[Other Cost]])</f>
        <v>2515.7232704402518</v>
      </c>
      <c r="O45" s="3">
        <f>SUM(day_cash_behind[[#This Row],[Cumulative Labor]:[Cumulative Other]])</f>
        <v>69855.756084222026</v>
      </c>
      <c r="P45" s="3">
        <f>SUM(day_cash_behind[[#Headers],[Revenue]]:day_cash_behind[[#This Row],[Revenue]])</f>
        <v>0</v>
      </c>
    </row>
    <row r="46" spans="2:16" x14ac:dyDescent="0.45">
      <c r="B46" s="1">
        <v>46429</v>
      </c>
      <c r="C46" s="4">
        <f>SUMIFS(schedule[Labor CPP], schedule[Start Date],"&lt;="&amp;day_cash_behind[[#This Row],[Date]], schedule[Finish Date],"&gt;="&amp;day_cash_behind[[#This Row],[Date]])</f>
        <v>1867.3092698933551</v>
      </c>
      <c r="D46" s="4">
        <f>SUMIFS(schedule[Material CPP], schedule[Start Date],"&lt;="&amp;day_cash_behind[[#This Row],[Date]]-$D$2, schedule[Finish Date],"&gt;="&amp;day_cash_behind[[#This Row],[Date]]-$D$2)</f>
        <v>326.08695652173913</v>
      </c>
      <c r="E46" s="4">
        <f>SUMIFS(schedule[Equipment CPP], schedule[Start Date],"&lt;="&amp;day_cash_behind[[#This Row],[Date]]-$E$2, schedule[Finish Date],"&gt;="&amp;day_cash_behind[[#This Row],[Date]]-$E$2)</f>
        <v>471.69811320754718</v>
      </c>
      <c r="F46" s="4">
        <f>SUMIFS(schedule[Sub CPP], schedule[Start Date],"&lt;="&amp;day_cash_behind[[#This Row],[Date]]-$F$2, schedule[Finish Date],"&gt;="&amp;day_cash_behind[[#This Row],[Date]]-$F$2)</f>
        <v>0</v>
      </c>
      <c r="G46" s="3">
        <f>SUMIFS(schedule[Other CPP], schedule[Start Date],"&lt;="&amp;day_cash_behind[[#This Row],[Date]]-$G$2, schedule[Finish Date],"&gt;="&amp;day_cash_behind[[#This Row],[Date]]-$G$2)</f>
        <v>499.24801750068366</v>
      </c>
      <c r="H46" s="3">
        <f>SUM(day_cash_behind[[#This Row],[Labor Cost]:[Other Cost]])</f>
        <v>3164.3423571233247</v>
      </c>
      <c r="I46" s="3">
        <f>SUMIFS(schedule[Revenue per Day], schedule[Start Date],"&lt;="&amp;day_cash_behind[[#This Row],[Date]]-$I$2, schedule[Finish Date],"&gt;="&amp;day_cash_behind[[#This Row],[Date]]-$I$2)</f>
        <v>0</v>
      </c>
      <c r="J46" s="3">
        <f>SUM(day_cash_behind[[#Headers],[Labor Cost]]:day_cash_behind[[#This Row],[Labor Cost]])</f>
        <v>65433.757178014741</v>
      </c>
      <c r="K46" s="3">
        <f>SUM(day_cash_behind[[#Headers],[Material Cost]]:day_cash_behind[[#This Row],[Material Cost]])</f>
        <v>326.08695652173913</v>
      </c>
      <c r="L46" s="3">
        <f>SUM(day_cash_behind[[#Headers],[Equipment Cost]]:day_cash_behind[[#This Row],[Equipment Cost]])</f>
        <v>4245.2830188679245</v>
      </c>
      <c r="M46" s="3">
        <f>SUM(day_cash_behind[[#Headers],[Sub Cost]]:day_cash_behind[[#This Row],[Sub Cost]])</f>
        <v>0</v>
      </c>
      <c r="N46" s="3">
        <f>SUM(day_cash_behind[[#Headers],[Other Cost]]:day_cash_behind[[#This Row],[Other Cost]])</f>
        <v>3014.9712879409353</v>
      </c>
      <c r="O46" s="3">
        <f>SUM(day_cash_behind[[#This Row],[Cumulative Labor]:[Cumulative Other]])</f>
        <v>73020.098441345341</v>
      </c>
      <c r="P46" s="3">
        <f>SUM(day_cash_behind[[#Headers],[Revenue]]:day_cash_behind[[#This Row],[Revenue]])</f>
        <v>0</v>
      </c>
    </row>
    <row r="47" spans="2:16" x14ac:dyDescent="0.45">
      <c r="B47" s="1">
        <v>46430</v>
      </c>
      <c r="C47" s="4">
        <f>SUMIFS(schedule[Labor CPP], schedule[Start Date],"&lt;="&amp;day_cash_behind[[#This Row],[Date]], schedule[Finish Date],"&gt;="&amp;day_cash_behind[[#This Row],[Date]])</f>
        <v>1867.3092698933551</v>
      </c>
      <c r="D47" s="4">
        <f>SUMIFS(schedule[Material CPP], schedule[Start Date],"&lt;="&amp;day_cash_behind[[#This Row],[Date]]-$D$2, schedule[Finish Date],"&gt;="&amp;day_cash_behind[[#This Row],[Date]]-$D$2)</f>
        <v>326.08695652173913</v>
      </c>
      <c r="E47" s="4">
        <f>SUMIFS(schedule[Equipment CPP], schedule[Start Date],"&lt;="&amp;day_cash_behind[[#This Row],[Date]]-$E$2, schedule[Finish Date],"&gt;="&amp;day_cash_behind[[#This Row],[Date]]-$E$2)</f>
        <v>471.69811320754718</v>
      </c>
      <c r="F47" s="4">
        <f>SUMIFS(schedule[Sub CPP], schedule[Start Date],"&lt;="&amp;day_cash_behind[[#This Row],[Date]]-$F$2, schedule[Finish Date],"&gt;="&amp;day_cash_behind[[#This Row],[Date]]-$F$2)</f>
        <v>0</v>
      </c>
      <c r="G47" s="3">
        <f>SUMIFS(schedule[Other CPP], schedule[Start Date],"&lt;="&amp;day_cash_behind[[#This Row],[Date]]-$G$2, schedule[Finish Date],"&gt;="&amp;day_cash_behind[[#This Row],[Date]]-$G$2)</f>
        <v>499.24801750068366</v>
      </c>
      <c r="H47" s="3">
        <f>SUM(day_cash_behind[[#This Row],[Labor Cost]:[Other Cost]])</f>
        <v>3164.3423571233247</v>
      </c>
      <c r="I47" s="3">
        <f>SUMIFS(schedule[Revenue per Day], schedule[Start Date],"&lt;="&amp;day_cash_behind[[#This Row],[Date]]-$I$2, schedule[Finish Date],"&gt;="&amp;day_cash_behind[[#This Row],[Date]]-$I$2)</f>
        <v>0</v>
      </c>
      <c r="J47" s="3">
        <f>SUM(day_cash_behind[[#Headers],[Labor Cost]]:day_cash_behind[[#This Row],[Labor Cost]])</f>
        <v>67301.066447908102</v>
      </c>
      <c r="K47" s="3">
        <f>SUM(day_cash_behind[[#Headers],[Material Cost]]:day_cash_behind[[#This Row],[Material Cost]])</f>
        <v>652.17391304347825</v>
      </c>
      <c r="L47" s="3">
        <f>SUM(day_cash_behind[[#Headers],[Equipment Cost]]:day_cash_behind[[#This Row],[Equipment Cost]])</f>
        <v>4716.9811320754716</v>
      </c>
      <c r="M47" s="3">
        <f>SUM(day_cash_behind[[#Headers],[Sub Cost]]:day_cash_behind[[#This Row],[Sub Cost]])</f>
        <v>0</v>
      </c>
      <c r="N47" s="3">
        <f>SUM(day_cash_behind[[#Headers],[Other Cost]]:day_cash_behind[[#This Row],[Other Cost]])</f>
        <v>3514.2193054416189</v>
      </c>
      <c r="O47" s="3">
        <f>SUM(day_cash_behind[[#This Row],[Cumulative Labor]:[Cumulative Other]])</f>
        <v>76184.440798468655</v>
      </c>
      <c r="P47" s="3">
        <f>SUM(day_cash_behind[[#Headers],[Revenue]]:day_cash_behind[[#This Row],[Revenue]])</f>
        <v>0</v>
      </c>
    </row>
    <row r="48" spans="2:16" x14ac:dyDescent="0.45">
      <c r="B48" s="1">
        <v>46431</v>
      </c>
      <c r="C48" s="4">
        <f>SUMIFS(schedule[Labor CPP], schedule[Start Date],"&lt;="&amp;day_cash_behind[[#This Row],[Date]], schedule[Finish Date],"&gt;="&amp;day_cash_behind[[#This Row],[Date]])</f>
        <v>1867.3092698933551</v>
      </c>
      <c r="D48" s="4">
        <f>SUMIFS(schedule[Material CPP], schedule[Start Date],"&lt;="&amp;day_cash_behind[[#This Row],[Date]]-$D$2, schedule[Finish Date],"&gt;="&amp;day_cash_behind[[#This Row],[Date]]-$D$2)</f>
        <v>326.08695652173913</v>
      </c>
      <c r="E48" s="4">
        <f>SUMIFS(schedule[Equipment CPP], schedule[Start Date],"&lt;="&amp;day_cash_behind[[#This Row],[Date]]-$E$2, schedule[Finish Date],"&gt;="&amp;day_cash_behind[[#This Row],[Date]]-$E$2)</f>
        <v>471.69811320754718</v>
      </c>
      <c r="F48" s="4">
        <f>SUMIFS(schedule[Sub CPP], schedule[Start Date],"&lt;="&amp;day_cash_behind[[#This Row],[Date]]-$F$2, schedule[Finish Date],"&gt;="&amp;day_cash_behind[[#This Row],[Date]]-$F$2)</f>
        <v>0</v>
      </c>
      <c r="G48" s="3">
        <f>SUMIFS(schedule[Other CPP], schedule[Start Date],"&lt;="&amp;day_cash_behind[[#This Row],[Date]]-$G$2, schedule[Finish Date],"&gt;="&amp;day_cash_behind[[#This Row],[Date]]-$G$2)</f>
        <v>499.24801750068366</v>
      </c>
      <c r="H48" s="3">
        <f>SUM(day_cash_behind[[#This Row],[Labor Cost]:[Other Cost]])</f>
        <v>3164.3423571233247</v>
      </c>
      <c r="I48" s="3">
        <f>SUMIFS(schedule[Revenue per Day], schedule[Start Date],"&lt;="&amp;day_cash_behind[[#This Row],[Date]]-$I$2, schedule[Finish Date],"&gt;="&amp;day_cash_behind[[#This Row],[Date]]-$I$2)</f>
        <v>0</v>
      </c>
      <c r="J48" s="3">
        <f>SUM(day_cash_behind[[#Headers],[Labor Cost]]:day_cash_behind[[#This Row],[Labor Cost]])</f>
        <v>69168.375717801464</v>
      </c>
      <c r="K48" s="3">
        <f>SUM(day_cash_behind[[#Headers],[Material Cost]]:day_cash_behind[[#This Row],[Material Cost]])</f>
        <v>978.26086956521738</v>
      </c>
      <c r="L48" s="3">
        <f>SUM(day_cash_behind[[#Headers],[Equipment Cost]]:day_cash_behind[[#This Row],[Equipment Cost]])</f>
        <v>5188.6792452830186</v>
      </c>
      <c r="M48" s="3">
        <f>SUM(day_cash_behind[[#Headers],[Sub Cost]]:day_cash_behind[[#This Row],[Sub Cost]])</f>
        <v>0</v>
      </c>
      <c r="N48" s="3">
        <f>SUM(day_cash_behind[[#Headers],[Other Cost]]:day_cash_behind[[#This Row],[Other Cost]])</f>
        <v>4013.4673229423024</v>
      </c>
      <c r="O48" s="3">
        <f>SUM(day_cash_behind[[#This Row],[Cumulative Labor]:[Cumulative Other]])</f>
        <v>79348.783155591998</v>
      </c>
      <c r="P48" s="3">
        <f>SUM(day_cash_behind[[#Headers],[Revenue]]:day_cash_behind[[#This Row],[Revenue]])</f>
        <v>0</v>
      </c>
    </row>
    <row r="49" spans="2:16" x14ac:dyDescent="0.45">
      <c r="B49" s="1">
        <v>46432</v>
      </c>
      <c r="C49" s="4">
        <f>SUMIFS(schedule[Labor CPP], schedule[Start Date],"&lt;="&amp;day_cash_behind[[#This Row],[Date]], schedule[Finish Date],"&gt;="&amp;day_cash_behind[[#This Row],[Date]])</f>
        <v>1867.3092698933551</v>
      </c>
      <c r="D49" s="4">
        <f>SUMIFS(schedule[Material CPP], schedule[Start Date],"&lt;="&amp;day_cash_behind[[#This Row],[Date]]-$D$2, schedule[Finish Date],"&gt;="&amp;day_cash_behind[[#This Row],[Date]]-$D$2)</f>
        <v>326.08695652173913</v>
      </c>
      <c r="E49" s="4">
        <f>SUMIFS(schedule[Equipment CPP], schedule[Start Date],"&lt;="&amp;day_cash_behind[[#This Row],[Date]]-$E$2, schedule[Finish Date],"&gt;="&amp;day_cash_behind[[#This Row],[Date]]-$E$2)</f>
        <v>471.69811320754718</v>
      </c>
      <c r="F49" s="4">
        <f>SUMIFS(schedule[Sub CPP], schedule[Start Date],"&lt;="&amp;day_cash_behind[[#This Row],[Date]]-$F$2, schedule[Finish Date],"&gt;="&amp;day_cash_behind[[#This Row],[Date]]-$F$2)</f>
        <v>0</v>
      </c>
      <c r="G49" s="3">
        <f>SUMIFS(schedule[Other CPP], schedule[Start Date],"&lt;="&amp;day_cash_behind[[#This Row],[Date]]-$G$2, schedule[Finish Date],"&gt;="&amp;day_cash_behind[[#This Row],[Date]]-$G$2)</f>
        <v>499.24801750068366</v>
      </c>
      <c r="H49" s="3">
        <f>SUM(day_cash_behind[[#This Row],[Labor Cost]:[Other Cost]])</f>
        <v>3164.3423571233247</v>
      </c>
      <c r="I49" s="3">
        <f>SUMIFS(schedule[Revenue per Day], schedule[Start Date],"&lt;="&amp;day_cash_behind[[#This Row],[Date]]-$I$2, schedule[Finish Date],"&gt;="&amp;day_cash_behind[[#This Row],[Date]]-$I$2)</f>
        <v>0</v>
      </c>
      <c r="J49" s="3">
        <f>SUM(day_cash_behind[[#Headers],[Labor Cost]]:day_cash_behind[[#This Row],[Labor Cost]])</f>
        <v>71035.684987694825</v>
      </c>
      <c r="K49" s="3">
        <f>SUM(day_cash_behind[[#Headers],[Material Cost]]:day_cash_behind[[#This Row],[Material Cost]])</f>
        <v>1304.3478260869565</v>
      </c>
      <c r="L49" s="3">
        <f>SUM(day_cash_behind[[#Headers],[Equipment Cost]]:day_cash_behind[[#This Row],[Equipment Cost]])</f>
        <v>5660.3773584905657</v>
      </c>
      <c r="M49" s="3">
        <f>SUM(day_cash_behind[[#Headers],[Sub Cost]]:day_cash_behind[[#This Row],[Sub Cost]])</f>
        <v>0</v>
      </c>
      <c r="N49" s="3">
        <f>SUM(day_cash_behind[[#Headers],[Other Cost]]:day_cash_behind[[#This Row],[Other Cost]])</f>
        <v>4512.7153404429864</v>
      </c>
      <c r="O49" s="3">
        <f>SUM(day_cash_behind[[#This Row],[Cumulative Labor]:[Cumulative Other]])</f>
        <v>82513.125512715342</v>
      </c>
      <c r="P49" s="3">
        <f>SUM(day_cash_behind[[#Headers],[Revenue]]:day_cash_behind[[#This Row],[Revenue]])</f>
        <v>0</v>
      </c>
    </row>
    <row r="50" spans="2:16" x14ac:dyDescent="0.45">
      <c r="B50" s="1">
        <v>46433</v>
      </c>
      <c r="C50" s="4">
        <f>SUMIFS(schedule[Labor CPP], schedule[Start Date],"&lt;="&amp;day_cash_behind[[#This Row],[Date]], schedule[Finish Date],"&gt;="&amp;day_cash_behind[[#This Row],[Date]])</f>
        <v>3840.993480419671</v>
      </c>
      <c r="D50" s="4">
        <f>SUMIFS(schedule[Material CPP], schedule[Start Date],"&lt;="&amp;day_cash_behind[[#This Row],[Date]]-$D$2, schedule[Finish Date],"&gt;="&amp;day_cash_behind[[#This Row],[Date]]-$D$2)</f>
        <v>326.08695652173913</v>
      </c>
      <c r="E50" s="4">
        <f>SUMIFS(schedule[Equipment CPP], schedule[Start Date],"&lt;="&amp;day_cash_behind[[#This Row],[Date]]-$E$2, schedule[Finish Date],"&gt;="&amp;day_cash_behind[[#This Row],[Date]]-$E$2)</f>
        <v>471.69811320754718</v>
      </c>
      <c r="F50" s="4">
        <f>SUMIFS(schedule[Sub CPP], schedule[Start Date],"&lt;="&amp;day_cash_behind[[#This Row],[Date]]-$F$2, schedule[Finish Date],"&gt;="&amp;day_cash_behind[[#This Row],[Date]]-$F$2)</f>
        <v>0</v>
      </c>
      <c r="G50" s="3">
        <f>SUMIFS(schedule[Other CPP], schedule[Start Date],"&lt;="&amp;day_cash_behind[[#This Row],[Date]]-$G$2, schedule[Finish Date],"&gt;="&amp;day_cash_behind[[#This Row],[Date]]-$G$2)</f>
        <v>499.24801750068366</v>
      </c>
      <c r="H50" s="3">
        <f>SUM(day_cash_behind[[#This Row],[Labor Cost]:[Other Cost]])</f>
        <v>5138.026567649641</v>
      </c>
      <c r="I50" s="3">
        <f>SUMIFS(schedule[Revenue per Day], schedule[Start Date],"&lt;="&amp;day_cash_behind[[#This Row],[Date]]-$I$2, schedule[Finish Date],"&gt;="&amp;day_cash_behind[[#This Row],[Date]]-$I$2)</f>
        <v>0</v>
      </c>
      <c r="J50" s="3">
        <f>SUM(day_cash_behind[[#Headers],[Labor Cost]]:day_cash_behind[[#This Row],[Labor Cost]])</f>
        <v>74876.678468114493</v>
      </c>
      <c r="K50" s="3">
        <f>SUM(day_cash_behind[[#Headers],[Material Cost]]:day_cash_behind[[#This Row],[Material Cost]])</f>
        <v>1630.4347826086955</v>
      </c>
      <c r="L50" s="3">
        <f>SUM(day_cash_behind[[#Headers],[Equipment Cost]]:day_cash_behind[[#This Row],[Equipment Cost]])</f>
        <v>6132.0754716981128</v>
      </c>
      <c r="M50" s="3">
        <f>SUM(day_cash_behind[[#Headers],[Sub Cost]]:day_cash_behind[[#This Row],[Sub Cost]])</f>
        <v>0</v>
      </c>
      <c r="N50" s="3">
        <f>SUM(day_cash_behind[[#Headers],[Other Cost]]:day_cash_behind[[#This Row],[Other Cost]])</f>
        <v>5011.9633579436704</v>
      </c>
      <c r="O50" s="3">
        <f>SUM(day_cash_behind[[#This Row],[Cumulative Labor]:[Cumulative Other]])</f>
        <v>87651.152080364962</v>
      </c>
      <c r="P50" s="3">
        <f>SUM(day_cash_behind[[#Headers],[Revenue]]:day_cash_behind[[#This Row],[Revenue]])</f>
        <v>0</v>
      </c>
    </row>
    <row r="51" spans="2:16" x14ac:dyDescent="0.45">
      <c r="B51" s="1">
        <v>46434</v>
      </c>
      <c r="C51" s="4">
        <f>SUMIFS(schedule[Labor CPP], schedule[Start Date],"&lt;="&amp;day_cash_behind[[#This Row],[Date]], schedule[Finish Date],"&gt;="&amp;day_cash_behind[[#This Row],[Date]])</f>
        <v>3840.993480419671</v>
      </c>
      <c r="D51" s="4">
        <f>SUMIFS(schedule[Material CPP], schedule[Start Date],"&lt;="&amp;day_cash_behind[[#This Row],[Date]]-$D$2, schedule[Finish Date],"&gt;="&amp;day_cash_behind[[#This Row],[Date]]-$D$2)</f>
        <v>326.08695652173913</v>
      </c>
      <c r="E51" s="4">
        <f>SUMIFS(schedule[Equipment CPP], schedule[Start Date],"&lt;="&amp;day_cash_behind[[#This Row],[Date]]-$E$2, schedule[Finish Date],"&gt;="&amp;day_cash_behind[[#This Row],[Date]]-$E$2)</f>
        <v>471.69811320754718</v>
      </c>
      <c r="F51" s="4">
        <f>SUMIFS(schedule[Sub CPP], schedule[Start Date],"&lt;="&amp;day_cash_behind[[#This Row],[Date]]-$F$2, schedule[Finish Date],"&gt;="&amp;day_cash_behind[[#This Row],[Date]]-$F$2)</f>
        <v>0</v>
      </c>
      <c r="G51" s="3">
        <f>SUMIFS(schedule[Other CPP], schedule[Start Date],"&lt;="&amp;day_cash_behind[[#This Row],[Date]]-$G$2, schedule[Finish Date],"&gt;="&amp;day_cash_behind[[#This Row],[Date]]-$G$2)</f>
        <v>499.24801750068366</v>
      </c>
      <c r="H51" s="3">
        <f>SUM(day_cash_behind[[#This Row],[Labor Cost]:[Other Cost]])</f>
        <v>5138.026567649641</v>
      </c>
      <c r="I51" s="3">
        <f>SUMIFS(schedule[Revenue per Day], schedule[Start Date],"&lt;="&amp;day_cash_behind[[#This Row],[Date]]-$I$2, schedule[Finish Date],"&gt;="&amp;day_cash_behind[[#This Row],[Date]]-$I$2)</f>
        <v>0</v>
      </c>
      <c r="J51" s="3">
        <f>SUM(day_cash_behind[[#Headers],[Labor Cost]]:day_cash_behind[[#This Row],[Labor Cost]])</f>
        <v>78717.67194853416</v>
      </c>
      <c r="K51" s="3">
        <f>SUM(day_cash_behind[[#Headers],[Material Cost]]:day_cash_behind[[#This Row],[Material Cost]])</f>
        <v>1956.5217391304345</v>
      </c>
      <c r="L51" s="3">
        <f>SUM(day_cash_behind[[#Headers],[Equipment Cost]]:day_cash_behind[[#This Row],[Equipment Cost]])</f>
        <v>6603.7735849056598</v>
      </c>
      <c r="M51" s="3">
        <f>SUM(day_cash_behind[[#Headers],[Sub Cost]]:day_cash_behind[[#This Row],[Sub Cost]])</f>
        <v>0</v>
      </c>
      <c r="N51" s="3">
        <f>SUM(day_cash_behind[[#Headers],[Other Cost]]:day_cash_behind[[#This Row],[Other Cost]])</f>
        <v>5511.2113754443544</v>
      </c>
      <c r="O51" s="3">
        <f>SUM(day_cash_behind[[#This Row],[Cumulative Labor]:[Cumulative Other]])</f>
        <v>92789.178648014611</v>
      </c>
      <c r="P51" s="3">
        <f>SUM(day_cash_behind[[#Headers],[Revenue]]:day_cash_behind[[#This Row],[Revenue]])</f>
        <v>0</v>
      </c>
    </row>
    <row r="52" spans="2:16" x14ac:dyDescent="0.45">
      <c r="B52" s="1">
        <v>46435</v>
      </c>
      <c r="C52" s="4">
        <f>SUMIFS(schedule[Labor CPP], schedule[Start Date],"&lt;="&amp;day_cash_behind[[#This Row],[Date]], schedule[Finish Date],"&gt;="&amp;day_cash_behind[[#This Row],[Date]])</f>
        <v>3840.993480419671</v>
      </c>
      <c r="D52" s="4">
        <f>SUMIFS(schedule[Material CPP], schedule[Start Date],"&lt;="&amp;day_cash_behind[[#This Row],[Date]]-$D$2, schedule[Finish Date],"&gt;="&amp;day_cash_behind[[#This Row],[Date]]-$D$2)</f>
        <v>326.08695652173913</v>
      </c>
      <c r="E52" s="4">
        <f>SUMIFS(schedule[Equipment CPP], schedule[Start Date],"&lt;="&amp;day_cash_behind[[#This Row],[Date]]-$E$2, schedule[Finish Date],"&gt;="&amp;day_cash_behind[[#This Row],[Date]]-$E$2)</f>
        <v>471.69811320754718</v>
      </c>
      <c r="F52" s="4">
        <f>SUMIFS(schedule[Sub CPP], schedule[Start Date],"&lt;="&amp;day_cash_behind[[#This Row],[Date]]-$F$2, schedule[Finish Date],"&gt;="&amp;day_cash_behind[[#This Row],[Date]]-$F$2)</f>
        <v>0</v>
      </c>
      <c r="G52" s="3">
        <f>SUMIFS(schedule[Other CPP], schedule[Start Date],"&lt;="&amp;day_cash_behind[[#This Row],[Date]]-$G$2, schedule[Finish Date],"&gt;="&amp;day_cash_behind[[#This Row],[Date]]-$G$2)</f>
        <v>499.24801750068366</v>
      </c>
      <c r="H52" s="3">
        <f>SUM(day_cash_behind[[#This Row],[Labor Cost]:[Other Cost]])</f>
        <v>5138.026567649641</v>
      </c>
      <c r="I52" s="3">
        <f>SUMIFS(schedule[Revenue per Day], schedule[Start Date],"&lt;="&amp;day_cash_behind[[#This Row],[Date]]-$I$2, schedule[Finish Date],"&gt;="&amp;day_cash_behind[[#This Row],[Date]]-$I$2)</f>
        <v>0</v>
      </c>
      <c r="J52" s="3">
        <f>SUM(day_cash_behind[[#Headers],[Labor Cost]]:day_cash_behind[[#This Row],[Labor Cost]])</f>
        <v>82558.665428953827</v>
      </c>
      <c r="K52" s="3">
        <f>SUM(day_cash_behind[[#Headers],[Material Cost]]:day_cash_behind[[#This Row],[Material Cost]])</f>
        <v>2282.6086956521735</v>
      </c>
      <c r="L52" s="3">
        <f>SUM(day_cash_behind[[#Headers],[Equipment Cost]]:day_cash_behind[[#This Row],[Equipment Cost]])</f>
        <v>7075.4716981132069</v>
      </c>
      <c r="M52" s="3">
        <f>SUM(day_cash_behind[[#Headers],[Sub Cost]]:day_cash_behind[[#This Row],[Sub Cost]])</f>
        <v>0</v>
      </c>
      <c r="N52" s="3">
        <f>SUM(day_cash_behind[[#Headers],[Other Cost]]:day_cash_behind[[#This Row],[Other Cost]])</f>
        <v>6010.4593929450384</v>
      </c>
      <c r="O52" s="3">
        <f>SUM(day_cash_behind[[#This Row],[Cumulative Labor]:[Cumulative Other]])</f>
        <v>97927.205215664246</v>
      </c>
      <c r="P52" s="3">
        <f>SUM(day_cash_behind[[#Headers],[Revenue]]:day_cash_behind[[#This Row],[Revenue]])</f>
        <v>0</v>
      </c>
    </row>
    <row r="53" spans="2:16" x14ac:dyDescent="0.45">
      <c r="B53" s="1">
        <v>46436</v>
      </c>
      <c r="C53" s="4">
        <f>SUMIFS(schedule[Labor CPP], schedule[Start Date],"&lt;="&amp;day_cash_behind[[#This Row],[Date]], schedule[Finish Date],"&gt;="&amp;day_cash_behind[[#This Row],[Date]])</f>
        <v>3840.993480419671</v>
      </c>
      <c r="D53" s="4">
        <f>SUMIFS(schedule[Material CPP], schedule[Start Date],"&lt;="&amp;day_cash_behind[[#This Row],[Date]]-$D$2, schedule[Finish Date],"&gt;="&amp;day_cash_behind[[#This Row],[Date]]-$D$2)</f>
        <v>326.08695652173913</v>
      </c>
      <c r="E53" s="4">
        <f>SUMIFS(schedule[Equipment CPP], schedule[Start Date],"&lt;="&amp;day_cash_behind[[#This Row],[Date]]-$E$2, schedule[Finish Date],"&gt;="&amp;day_cash_behind[[#This Row],[Date]]-$E$2)</f>
        <v>471.69811320754718</v>
      </c>
      <c r="F53" s="4">
        <f>SUMIFS(schedule[Sub CPP], schedule[Start Date],"&lt;="&amp;day_cash_behind[[#This Row],[Date]]-$F$2, schedule[Finish Date],"&gt;="&amp;day_cash_behind[[#This Row],[Date]]-$F$2)</f>
        <v>0</v>
      </c>
      <c r="G53" s="3">
        <f>SUMIFS(schedule[Other CPP], schedule[Start Date],"&lt;="&amp;day_cash_behind[[#This Row],[Date]]-$G$2, schedule[Finish Date],"&gt;="&amp;day_cash_behind[[#This Row],[Date]]-$G$2)</f>
        <v>499.24801750068366</v>
      </c>
      <c r="H53" s="3">
        <f>SUM(day_cash_behind[[#This Row],[Labor Cost]:[Other Cost]])</f>
        <v>5138.026567649641</v>
      </c>
      <c r="I53" s="3">
        <f>SUMIFS(schedule[Revenue per Day], schedule[Start Date],"&lt;="&amp;day_cash_behind[[#This Row],[Date]]-$I$2, schedule[Finish Date],"&gt;="&amp;day_cash_behind[[#This Row],[Date]]-$I$2)</f>
        <v>0</v>
      </c>
      <c r="J53" s="3">
        <f>SUM(day_cash_behind[[#Headers],[Labor Cost]]:day_cash_behind[[#This Row],[Labor Cost]])</f>
        <v>86399.658909373495</v>
      </c>
      <c r="K53" s="3">
        <f>SUM(day_cash_behind[[#Headers],[Material Cost]]:day_cash_behind[[#This Row],[Material Cost]])</f>
        <v>2608.6956521739125</v>
      </c>
      <c r="L53" s="3">
        <f>SUM(day_cash_behind[[#Headers],[Equipment Cost]]:day_cash_behind[[#This Row],[Equipment Cost]])</f>
        <v>7547.169811320754</v>
      </c>
      <c r="M53" s="3">
        <f>SUM(day_cash_behind[[#Headers],[Sub Cost]]:day_cash_behind[[#This Row],[Sub Cost]])</f>
        <v>0</v>
      </c>
      <c r="N53" s="3">
        <f>SUM(day_cash_behind[[#Headers],[Other Cost]]:day_cash_behind[[#This Row],[Other Cost]])</f>
        <v>6509.7074104457224</v>
      </c>
      <c r="O53" s="3">
        <f>SUM(day_cash_behind[[#This Row],[Cumulative Labor]:[Cumulative Other]])</f>
        <v>103065.23178331389</v>
      </c>
      <c r="P53" s="3">
        <f>SUM(day_cash_behind[[#Headers],[Revenue]]:day_cash_behind[[#This Row],[Revenue]])</f>
        <v>0</v>
      </c>
    </row>
    <row r="54" spans="2:16" x14ac:dyDescent="0.45">
      <c r="B54" s="1">
        <v>46437</v>
      </c>
      <c r="C54" s="4">
        <f>SUMIFS(schedule[Labor CPP], schedule[Start Date],"&lt;="&amp;day_cash_behind[[#This Row],[Date]], schedule[Finish Date],"&gt;="&amp;day_cash_behind[[#This Row],[Date]])</f>
        <v>3840.993480419671</v>
      </c>
      <c r="D54" s="4">
        <f>SUMIFS(schedule[Material CPP], schedule[Start Date],"&lt;="&amp;day_cash_behind[[#This Row],[Date]]-$D$2, schedule[Finish Date],"&gt;="&amp;day_cash_behind[[#This Row],[Date]]-$D$2)</f>
        <v>326.08695652173913</v>
      </c>
      <c r="E54" s="4">
        <f>SUMIFS(schedule[Equipment CPP], schedule[Start Date],"&lt;="&amp;day_cash_behind[[#This Row],[Date]]-$E$2, schedule[Finish Date],"&gt;="&amp;day_cash_behind[[#This Row],[Date]]-$E$2)</f>
        <v>471.69811320754718</v>
      </c>
      <c r="F54" s="4">
        <f>SUMIFS(schedule[Sub CPP], schedule[Start Date],"&lt;="&amp;day_cash_behind[[#This Row],[Date]]-$F$2, schedule[Finish Date],"&gt;="&amp;day_cash_behind[[#This Row],[Date]]-$F$2)</f>
        <v>0</v>
      </c>
      <c r="G54" s="3">
        <f>SUMIFS(schedule[Other CPP], schedule[Start Date],"&lt;="&amp;day_cash_behind[[#This Row],[Date]]-$G$2, schedule[Finish Date],"&gt;="&amp;day_cash_behind[[#This Row],[Date]]-$G$2)</f>
        <v>499.24801750068366</v>
      </c>
      <c r="H54" s="3">
        <f>SUM(day_cash_behind[[#This Row],[Labor Cost]:[Other Cost]])</f>
        <v>5138.026567649641</v>
      </c>
      <c r="I54" s="3">
        <f>SUMIFS(schedule[Revenue per Day], schedule[Start Date],"&lt;="&amp;day_cash_behind[[#This Row],[Date]]-$I$2, schedule[Finish Date],"&gt;="&amp;day_cash_behind[[#This Row],[Date]]-$I$2)</f>
        <v>0</v>
      </c>
      <c r="J54" s="3">
        <f>SUM(day_cash_behind[[#Headers],[Labor Cost]]:day_cash_behind[[#This Row],[Labor Cost]])</f>
        <v>90240.652389793162</v>
      </c>
      <c r="K54" s="3">
        <f>SUM(day_cash_behind[[#Headers],[Material Cost]]:day_cash_behind[[#This Row],[Material Cost]])</f>
        <v>2934.7826086956516</v>
      </c>
      <c r="L54" s="3">
        <f>SUM(day_cash_behind[[#Headers],[Equipment Cost]]:day_cash_behind[[#This Row],[Equipment Cost]])</f>
        <v>8018.867924528301</v>
      </c>
      <c r="M54" s="3">
        <f>SUM(day_cash_behind[[#Headers],[Sub Cost]]:day_cash_behind[[#This Row],[Sub Cost]])</f>
        <v>0</v>
      </c>
      <c r="N54" s="3">
        <f>SUM(day_cash_behind[[#Headers],[Other Cost]]:day_cash_behind[[#This Row],[Other Cost]])</f>
        <v>7008.9554279464064</v>
      </c>
      <c r="O54" s="3">
        <f>SUM(day_cash_behind[[#This Row],[Cumulative Labor]:[Cumulative Other]])</f>
        <v>108203.25835096352</v>
      </c>
      <c r="P54" s="3">
        <f>SUM(day_cash_behind[[#Headers],[Revenue]]:day_cash_behind[[#This Row],[Revenue]])</f>
        <v>0</v>
      </c>
    </row>
    <row r="55" spans="2:16" x14ac:dyDescent="0.45">
      <c r="B55" s="1">
        <v>46438</v>
      </c>
      <c r="C55" s="4">
        <f>SUMIFS(schedule[Labor CPP], schedule[Start Date],"&lt;="&amp;day_cash_behind[[#This Row],[Date]], schedule[Finish Date],"&gt;="&amp;day_cash_behind[[#This Row],[Date]])</f>
        <v>3840.993480419671</v>
      </c>
      <c r="D55" s="4">
        <f>SUMIFS(schedule[Material CPP], schedule[Start Date],"&lt;="&amp;day_cash_behind[[#This Row],[Date]]-$D$2, schedule[Finish Date],"&gt;="&amp;day_cash_behind[[#This Row],[Date]]-$D$2)</f>
        <v>326.08695652173913</v>
      </c>
      <c r="E55" s="4">
        <f>SUMIFS(schedule[Equipment CPP], schedule[Start Date],"&lt;="&amp;day_cash_behind[[#This Row],[Date]]-$E$2, schedule[Finish Date],"&gt;="&amp;day_cash_behind[[#This Row],[Date]]-$E$2)</f>
        <v>471.69811320754718</v>
      </c>
      <c r="F55" s="4">
        <f>SUMIFS(schedule[Sub CPP], schedule[Start Date],"&lt;="&amp;day_cash_behind[[#This Row],[Date]]-$F$2, schedule[Finish Date],"&gt;="&amp;day_cash_behind[[#This Row],[Date]]-$F$2)</f>
        <v>0</v>
      </c>
      <c r="G55" s="3">
        <f>SUMIFS(schedule[Other CPP], schedule[Start Date],"&lt;="&amp;day_cash_behind[[#This Row],[Date]]-$G$2, schedule[Finish Date],"&gt;="&amp;day_cash_behind[[#This Row],[Date]]-$G$2)</f>
        <v>499.24801750068366</v>
      </c>
      <c r="H55" s="3">
        <f>SUM(day_cash_behind[[#This Row],[Labor Cost]:[Other Cost]])</f>
        <v>5138.026567649641</v>
      </c>
      <c r="I55" s="3">
        <f>SUMIFS(schedule[Revenue per Day], schedule[Start Date],"&lt;="&amp;day_cash_behind[[#This Row],[Date]]-$I$2, schedule[Finish Date],"&gt;="&amp;day_cash_behind[[#This Row],[Date]]-$I$2)</f>
        <v>0</v>
      </c>
      <c r="J55" s="3">
        <f>SUM(day_cash_behind[[#Headers],[Labor Cost]]:day_cash_behind[[#This Row],[Labor Cost]])</f>
        <v>94081.645870212829</v>
      </c>
      <c r="K55" s="3">
        <f>SUM(day_cash_behind[[#Headers],[Material Cost]]:day_cash_behind[[#This Row],[Material Cost]])</f>
        <v>3260.8695652173906</v>
      </c>
      <c r="L55" s="3">
        <f>SUM(day_cash_behind[[#Headers],[Equipment Cost]]:day_cash_behind[[#This Row],[Equipment Cost]])</f>
        <v>8490.566037735849</v>
      </c>
      <c r="M55" s="3">
        <f>SUM(day_cash_behind[[#Headers],[Sub Cost]]:day_cash_behind[[#This Row],[Sub Cost]])</f>
        <v>0</v>
      </c>
      <c r="N55" s="3">
        <f>SUM(day_cash_behind[[#Headers],[Other Cost]]:day_cash_behind[[#This Row],[Other Cost]])</f>
        <v>7508.2034454470904</v>
      </c>
      <c r="O55" s="3">
        <f>SUM(day_cash_behind[[#This Row],[Cumulative Labor]:[Cumulative Other]])</f>
        <v>113341.28491861315</v>
      </c>
      <c r="P55" s="3">
        <f>SUM(day_cash_behind[[#Headers],[Revenue]]:day_cash_behind[[#This Row],[Revenue]])</f>
        <v>0</v>
      </c>
    </row>
    <row r="56" spans="2:16" x14ac:dyDescent="0.45">
      <c r="B56" s="1">
        <v>46439</v>
      </c>
      <c r="C56" s="4">
        <f>SUMIFS(schedule[Labor CPP], schedule[Start Date],"&lt;="&amp;day_cash_behind[[#This Row],[Date]], schedule[Finish Date],"&gt;="&amp;day_cash_behind[[#This Row],[Date]])</f>
        <v>3840.993480419671</v>
      </c>
      <c r="D56" s="4">
        <f>SUMIFS(schedule[Material CPP], schedule[Start Date],"&lt;="&amp;day_cash_behind[[#This Row],[Date]]-$D$2, schedule[Finish Date],"&gt;="&amp;day_cash_behind[[#This Row],[Date]]-$D$2)</f>
        <v>326.08695652173913</v>
      </c>
      <c r="E56" s="4">
        <f>SUMIFS(schedule[Equipment CPP], schedule[Start Date],"&lt;="&amp;day_cash_behind[[#This Row],[Date]]-$E$2, schedule[Finish Date],"&gt;="&amp;day_cash_behind[[#This Row],[Date]]-$E$2)</f>
        <v>471.69811320754718</v>
      </c>
      <c r="F56" s="4">
        <f>SUMIFS(schedule[Sub CPP], schedule[Start Date],"&lt;="&amp;day_cash_behind[[#This Row],[Date]]-$F$2, schedule[Finish Date],"&gt;="&amp;day_cash_behind[[#This Row],[Date]]-$F$2)</f>
        <v>0</v>
      </c>
      <c r="G56" s="3">
        <f>SUMIFS(schedule[Other CPP], schedule[Start Date],"&lt;="&amp;day_cash_behind[[#This Row],[Date]]-$G$2, schedule[Finish Date],"&gt;="&amp;day_cash_behind[[#This Row],[Date]]-$G$2)</f>
        <v>499.24801750068366</v>
      </c>
      <c r="H56" s="3">
        <f>SUM(day_cash_behind[[#This Row],[Labor Cost]:[Other Cost]])</f>
        <v>5138.026567649641</v>
      </c>
      <c r="I56" s="3">
        <f>SUMIFS(schedule[Revenue per Day], schedule[Start Date],"&lt;="&amp;day_cash_behind[[#This Row],[Date]]-$I$2, schedule[Finish Date],"&gt;="&amp;day_cash_behind[[#This Row],[Date]]-$I$2)</f>
        <v>0</v>
      </c>
      <c r="J56" s="3">
        <f>SUM(day_cash_behind[[#Headers],[Labor Cost]]:day_cash_behind[[#This Row],[Labor Cost]])</f>
        <v>97922.639350632497</v>
      </c>
      <c r="K56" s="3">
        <f>SUM(day_cash_behind[[#Headers],[Material Cost]]:day_cash_behind[[#This Row],[Material Cost]])</f>
        <v>3586.9565217391296</v>
      </c>
      <c r="L56" s="3">
        <f>SUM(day_cash_behind[[#Headers],[Equipment Cost]]:day_cash_behind[[#This Row],[Equipment Cost]])</f>
        <v>8962.2641509433961</v>
      </c>
      <c r="M56" s="3">
        <f>SUM(day_cash_behind[[#Headers],[Sub Cost]]:day_cash_behind[[#This Row],[Sub Cost]])</f>
        <v>0</v>
      </c>
      <c r="N56" s="3">
        <f>SUM(day_cash_behind[[#Headers],[Other Cost]]:day_cash_behind[[#This Row],[Other Cost]])</f>
        <v>8007.4514629477744</v>
      </c>
      <c r="O56" s="3">
        <f>SUM(day_cash_behind[[#This Row],[Cumulative Labor]:[Cumulative Other]])</f>
        <v>118479.31148626281</v>
      </c>
      <c r="P56" s="3">
        <f>SUM(day_cash_behind[[#Headers],[Revenue]]:day_cash_behind[[#This Row],[Revenue]])</f>
        <v>0</v>
      </c>
    </row>
    <row r="57" spans="2:16" x14ac:dyDescent="0.45">
      <c r="B57" s="1">
        <v>46440</v>
      </c>
      <c r="C57" s="4">
        <f>SUMIFS(schedule[Labor CPP], schedule[Start Date],"&lt;="&amp;day_cash_behind[[#This Row],[Date]], schedule[Finish Date],"&gt;="&amp;day_cash_behind[[#This Row],[Date]])</f>
        <v>3840.993480419671</v>
      </c>
      <c r="D57" s="4">
        <f>SUMIFS(schedule[Material CPP], schedule[Start Date],"&lt;="&amp;day_cash_behind[[#This Row],[Date]]-$D$2, schedule[Finish Date],"&gt;="&amp;day_cash_behind[[#This Row],[Date]]-$D$2)</f>
        <v>326.08695652173913</v>
      </c>
      <c r="E57" s="4">
        <f>SUMIFS(schedule[Equipment CPP], schedule[Start Date],"&lt;="&amp;day_cash_behind[[#This Row],[Date]]-$E$2, schedule[Finish Date],"&gt;="&amp;day_cash_behind[[#This Row],[Date]]-$E$2)</f>
        <v>471.69811320754718</v>
      </c>
      <c r="F57" s="4">
        <f>SUMIFS(schedule[Sub CPP], schedule[Start Date],"&lt;="&amp;day_cash_behind[[#This Row],[Date]]-$F$2, schedule[Finish Date],"&gt;="&amp;day_cash_behind[[#This Row],[Date]]-$F$2)</f>
        <v>0</v>
      </c>
      <c r="G57" s="3">
        <f>SUMIFS(schedule[Other CPP], schedule[Start Date],"&lt;="&amp;day_cash_behind[[#This Row],[Date]]-$G$2, schedule[Finish Date],"&gt;="&amp;day_cash_behind[[#This Row],[Date]]-$G$2)</f>
        <v>499.24801750068366</v>
      </c>
      <c r="H57" s="3">
        <f>SUM(day_cash_behind[[#This Row],[Labor Cost]:[Other Cost]])</f>
        <v>5138.026567649641</v>
      </c>
      <c r="I57" s="3">
        <f>SUMIFS(schedule[Revenue per Day], schedule[Start Date],"&lt;="&amp;day_cash_behind[[#This Row],[Date]]-$I$2, schedule[Finish Date],"&gt;="&amp;day_cash_behind[[#This Row],[Date]]-$I$2)</f>
        <v>0</v>
      </c>
      <c r="J57" s="3">
        <f>SUM(day_cash_behind[[#Headers],[Labor Cost]]:day_cash_behind[[#This Row],[Labor Cost]])</f>
        <v>101763.63283105216</v>
      </c>
      <c r="K57" s="3">
        <f>SUM(day_cash_behind[[#Headers],[Material Cost]]:day_cash_behind[[#This Row],[Material Cost]])</f>
        <v>3913.0434782608686</v>
      </c>
      <c r="L57" s="3">
        <f>SUM(day_cash_behind[[#Headers],[Equipment Cost]]:day_cash_behind[[#This Row],[Equipment Cost]])</f>
        <v>9433.9622641509432</v>
      </c>
      <c r="M57" s="3">
        <f>SUM(day_cash_behind[[#Headers],[Sub Cost]]:day_cash_behind[[#This Row],[Sub Cost]])</f>
        <v>0</v>
      </c>
      <c r="N57" s="3">
        <f>SUM(day_cash_behind[[#Headers],[Other Cost]]:day_cash_behind[[#This Row],[Other Cost]])</f>
        <v>8506.6994804484584</v>
      </c>
      <c r="O57" s="3">
        <f>SUM(day_cash_behind[[#This Row],[Cumulative Labor]:[Cumulative Other]])</f>
        <v>123617.33805391243</v>
      </c>
      <c r="P57" s="3">
        <f>SUM(day_cash_behind[[#Headers],[Revenue]]:day_cash_behind[[#This Row],[Revenue]])</f>
        <v>0</v>
      </c>
    </row>
    <row r="58" spans="2:16" x14ac:dyDescent="0.45">
      <c r="B58" s="1">
        <v>46441</v>
      </c>
      <c r="C58" s="4">
        <f>SUMIFS(schedule[Labor CPP], schedule[Start Date],"&lt;="&amp;day_cash_behind[[#This Row],[Date]], schedule[Finish Date],"&gt;="&amp;day_cash_behind[[#This Row],[Date]])</f>
        <v>3840.993480419671</v>
      </c>
      <c r="D58" s="4">
        <f>SUMIFS(schedule[Material CPP], schedule[Start Date],"&lt;="&amp;day_cash_behind[[#This Row],[Date]]-$D$2, schedule[Finish Date],"&gt;="&amp;day_cash_behind[[#This Row],[Date]]-$D$2)</f>
        <v>326.08695652173913</v>
      </c>
      <c r="E58" s="4">
        <f>SUMIFS(schedule[Equipment CPP], schedule[Start Date],"&lt;="&amp;day_cash_behind[[#This Row],[Date]]-$E$2, schedule[Finish Date],"&gt;="&amp;day_cash_behind[[#This Row],[Date]]-$E$2)</f>
        <v>471.69811320754718</v>
      </c>
      <c r="F58" s="4">
        <f>SUMIFS(schedule[Sub CPP], schedule[Start Date],"&lt;="&amp;day_cash_behind[[#This Row],[Date]]-$F$2, schedule[Finish Date],"&gt;="&amp;day_cash_behind[[#This Row],[Date]]-$F$2)</f>
        <v>0</v>
      </c>
      <c r="G58" s="3">
        <f>SUMIFS(schedule[Other CPP], schedule[Start Date],"&lt;="&amp;day_cash_behind[[#This Row],[Date]]-$G$2, schedule[Finish Date],"&gt;="&amp;day_cash_behind[[#This Row],[Date]]-$G$2)</f>
        <v>499.24801750068366</v>
      </c>
      <c r="H58" s="3">
        <f>SUM(day_cash_behind[[#This Row],[Labor Cost]:[Other Cost]])</f>
        <v>5138.026567649641</v>
      </c>
      <c r="I58" s="3">
        <f>SUMIFS(schedule[Revenue per Day], schedule[Start Date],"&lt;="&amp;day_cash_behind[[#This Row],[Date]]-$I$2, schedule[Finish Date],"&gt;="&amp;day_cash_behind[[#This Row],[Date]]-$I$2)</f>
        <v>0</v>
      </c>
      <c r="J58" s="3">
        <f>SUM(day_cash_behind[[#Headers],[Labor Cost]]:day_cash_behind[[#This Row],[Labor Cost]])</f>
        <v>105604.62631147183</v>
      </c>
      <c r="K58" s="3">
        <f>SUM(day_cash_behind[[#Headers],[Material Cost]]:day_cash_behind[[#This Row],[Material Cost]])</f>
        <v>4239.1304347826081</v>
      </c>
      <c r="L58" s="3">
        <f>SUM(day_cash_behind[[#Headers],[Equipment Cost]]:day_cash_behind[[#This Row],[Equipment Cost]])</f>
        <v>9905.6603773584902</v>
      </c>
      <c r="M58" s="3">
        <f>SUM(day_cash_behind[[#Headers],[Sub Cost]]:day_cash_behind[[#This Row],[Sub Cost]])</f>
        <v>0</v>
      </c>
      <c r="N58" s="3">
        <f>SUM(day_cash_behind[[#Headers],[Other Cost]]:day_cash_behind[[#This Row],[Other Cost]])</f>
        <v>9005.9474979491424</v>
      </c>
      <c r="O58" s="3">
        <f>SUM(day_cash_behind[[#This Row],[Cumulative Labor]:[Cumulative Other]])</f>
        <v>128755.36462156207</v>
      </c>
      <c r="P58" s="3">
        <f>SUM(day_cash_behind[[#Headers],[Revenue]]:day_cash_behind[[#This Row],[Revenue]])</f>
        <v>0</v>
      </c>
    </row>
    <row r="59" spans="2:16" x14ac:dyDescent="0.45">
      <c r="B59" s="1">
        <v>46442</v>
      </c>
      <c r="C59" s="4">
        <f>SUMIFS(schedule[Labor CPP], schedule[Start Date],"&lt;="&amp;day_cash_behind[[#This Row],[Date]], schedule[Finish Date],"&gt;="&amp;day_cash_behind[[#This Row],[Date]])</f>
        <v>3840.993480419671</v>
      </c>
      <c r="D59" s="4">
        <f>SUMIFS(schedule[Material CPP], schedule[Start Date],"&lt;="&amp;day_cash_behind[[#This Row],[Date]]-$D$2, schedule[Finish Date],"&gt;="&amp;day_cash_behind[[#This Row],[Date]]-$D$2)</f>
        <v>326.08695652173913</v>
      </c>
      <c r="E59" s="4">
        <f>SUMIFS(schedule[Equipment CPP], schedule[Start Date],"&lt;="&amp;day_cash_behind[[#This Row],[Date]]-$E$2, schedule[Finish Date],"&gt;="&amp;day_cash_behind[[#This Row],[Date]]-$E$2)</f>
        <v>471.69811320754718</v>
      </c>
      <c r="F59" s="4">
        <f>SUMIFS(schedule[Sub CPP], schedule[Start Date],"&lt;="&amp;day_cash_behind[[#This Row],[Date]]-$F$2, schedule[Finish Date],"&gt;="&amp;day_cash_behind[[#This Row],[Date]]-$F$2)</f>
        <v>0</v>
      </c>
      <c r="G59" s="3">
        <f>SUMIFS(schedule[Other CPP], schedule[Start Date],"&lt;="&amp;day_cash_behind[[#This Row],[Date]]-$G$2, schedule[Finish Date],"&gt;="&amp;day_cash_behind[[#This Row],[Date]]-$G$2)</f>
        <v>499.24801750068366</v>
      </c>
      <c r="H59" s="3">
        <f>SUM(day_cash_behind[[#This Row],[Labor Cost]:[Other Cost]])</f>
        <v>5138.026567649641</v>
      </c>
      <c r="I59" s="3">
        <f>SUMIFS(schedule[Revenue per Day], schedule[Start Date],"&lt;="&amp;day_cash_behind[[#This Row],[Date]]-$I$2, schedule[Finish Date],"&gt;="&amp;day_cash_behind[[#This Row],[Date]]-$I$2)</f>
        <v>0</v>
      </c>
      <c r="J59" s="3">
        <f>SUM(day_cash_behind[[#Headers],[Labor Cost]]:day_cash_behind[[#This Row],[Labor Cost]])</f>
        <v>109445.6197918915</v>
      </c>
      <c r="K59" s="3">
        <f>SUM(day_cash_behind[[#Headers],[Material Cost]]:day_cash_behind[[#This Row],[Material Cost]])</f>
        <v>4565.2173913043471</v>
      </c>
      <c r="L59" s="3">
        <f>SUM(day_cash_behind[[#Headers],[Equipment Cost]]:day_cash_behind[[#This Row],[Equipment Cost]])</f>
        <v>10377.358490566037</v>
      </c>
      <c r="M59" s="3">
        <f>SUM(day_cash_behind[[#Headers],[Sub Cost]]:day_cash_behind[[#This Row],[Sub Cost]])</f>
        <v>0</v>
      </c>
      <c r="N59" s="3">
        <f>SUM(day_cash_behind[[#Headers],[Other Cost]]:day_cash_behind[[#This Row],[Other Cost]])</f>
        <v>9505.1955154498264</v>
      </c>
      <c r="O59" s="3">
        <f>SUM(day_cash_behind[[#This Row],[Cumulative Labor]:[Cumulative Other]])</f>
        <v>133893.39118921172</v>
      </c>
      <c r="P59" s="3">
        <f>SUM(day_cash_behind[[#Headers],[Revenue]]:day_cash_behind[[#This Row],[Revenue]])</f>
        <v>0</v>
      </c>
    </row>
    <row r="60" spans="2:16" x14ac:dyDescent="0.45">
      <c r="B60" s="1">
        <v>46443</v>
      </c>
      <c r="C60" s="4">
        <f>SUMIFS(schedule[Labor CPP], schedule[Start Date],"&lt;="&amp;day_cash_behind[[#This Row],[Date]], schedule[Finish Date],"&gt;="&amp;day_cash_behind[[#This Row],[Date]])</f>
        <v>3840.993480419671</v>
      </c>
      <c r="D60" s="4">
        <f>SUMIFS(schedule[Material CPP], schedule[Start Date],"&lt;="&amp;day_cash_behind[[#This Row],[Date]]-$D$2, schedule[Finish Date],"&gt;="&amp;day_cash_behind[[#This Row],[Date]]-$D$2)</f>
        <v>326.08695652173913</v>
      </c>
      <c r="E60" s="4">
        <f>SUMIFS(schedule[Equipment CPP], schedule[Start Date],"&lt;="&amp;day_cash_behind[[#This Row],[Date]]-$E$2, schedule[Finish Date],"&gt;="&amp;day_cash_behind[[#This Row],[Date]]-$E$2)</f>
        <v>471.69811320754718</v>
      </c>
      <c r="F60" s="4">
        <f>SUMIFS(schedule[Sub CPP], schedule[Start Date],"&lt;="&amp;day_cash_behind[[#This Row],[Date]]-$F$2, schedule[Finish Date],"&gt;="&amp;day_cash_behind[[#This Row],[Date]]-$F$2)</f>
        <v>0</v>
      </c>
      <c r="G60" s="3">
        <f>SUMIFS(schedule[Other CPP], schedule[Start Date],"&lt;="&amp;day_cash_behind[[#This Row],[Date]]-$G$2, schedule[Finish Date],"&gt;="&amp;day_cash_behind[[#This Row],[Date]]-$G$2)</f>
        <v>499.24801750068366</v>
      </c>
      <c r="H60" s="3">
        <f>SUM(day_cash_behind[[#This Row],[Labor Cost]:[Other Cost]])</f>
        <v>5138.026567649641</v>
      </c>
      <c r="I60" s="3">
        <f>SUMIFS(schedule[Revenue per Day], schedule[Start Date],"&lt;="&amp;day_cash_behind[[#This Row],[Date]]-$I$2, schedule[Finish Date],"&gt;="&amp;day_cash_behind[[#This Row],[Date]]-$I$2)</f>
        <v>0</v>
      </c>
      <c r="J60" s="3">
        <f>SUM(day_cash_behind[[#Headers],[Labor Cost]]:day_cash_behind[[#This Row],[Labor Cost]])</f>
        <v>113286.61327231117</v>
      </c>
      <c r="K60" s="3">
        <f>SUM(day_cash_behind[[#Headers],[Material Cost]]:day_cash_behind[[#This Row],[Material Cost]])</f>
        <v>4891.3043478260861</v>
      </c>
      <c r="L60" s="3">
        <f>SUM(day_cash_behind[[#Headers],[Equipment Cost]]:day_cash_behind[[#This Row],[Equipment Cost]])</f>
        <v>10849.056603773584</v>
      </c>
      <c r="M60" s="3">
        <f>SUM(day_cash_behind[[#Headers],[Sub Cost]]:day_cash_behind[[#This Row],[Sub Cost]])</f>
        <v>0</v>
      </c>
      <c r="N60" s="3">
        <f>SUM(day_cash_behind[[#Headers],[Other Cost]]:day_cash_behind[[#This Row],[Other Cost]])</f>
        <v>10004.44353295051</v>
      </c>
      <c r="O60" s="3">
        <f>SUM(day_cash_behind[[#This Row],[Cumulative Labor]:[Cumulative Other]])</f>
        <v>139031.41775686134</v>
      </c>
      <c r="P60" s="3">
        <f>SUM(day_cash_behind[[#Headers],[Revenue]]:day_cash_behind[[#This Row],[Revenue]])</f>
        <v>0</v>
      </c>
    </row>
    <row r="61" spans="2:16" x14ac:dyDescent="0.45">
      <c r="B61" s="1">
        <v>46444</v>
      </c>
      <c r="C61" s="4">
        <f>SUMIFS(schedule[Labor CPP], schedule[Start Date],"&lt;="&amp;day_cash_behind[[#This Row],[Date]], schedule[Finish Date],"&gt;="&amp;day_cash_behind[[#This Row],[Date]])</f>
        <v>3840.993480419671</v>
      </c>
      <c r="D61" s="4">
        <f>SUMIFS(schedule[Material CPP], schedule[Start Date],"&lt;="&amp;day_cash_behind[[#This Row],[Date]]-$D$2, schedule[Finish Date],"&gt;="&amp;day_cash_behind[[#This Row],[Date]]-$D$2)</f>
        <v>326.08695652173913</v>
      </c>
      <c r="E61" s="4">
        <f>SUMIFS(schedule[Equipment CPP], schedule[Start Date],"&lt;="&amp;day_cash_behind[[#This Row],[Date]]-$E$2, schedule[Finish Date],"&gt;="&amp;day_cash_behind[[#This Row],[Date]]-$E$2)</f>
        <v>471.69811320754718</v>
      </c>
      <c r="F61" s="4">
        <f>SUMIFS(schedule[Sub CPP], schedule[Start Date],"&lt;="&amp;day_cash_behind[[#This Row],[Date]]-$F$2, schedule[Finish Date],"&gt;="&amp;day_cash_behind[[#This Row],[Date]]-$F$2)</f>
        <v>0</v>
      </c>
      <c r="G61" s="3">
        <f>SUMIFS(schedule[Other CPP], schedule[Start Date],"&lt;="&amp;day_cash_behind[[#This Row],[Date]]-$G$2, schedule[Finish Date],"&gt;="&amp;day_cash_behind[[#This Row],[Date]]-$G$2)</f>
        <v>499.24801750068366</v>
      </c>
      <c r="H61" s="3">
        <f>SUM(day_cash_behind[[#This Row],[Labor Cost]:[Other Cost]])</f>
        <v>5138.026567649641</v>
      </c>
      <c r="I61" s="3">
        <f>SUMIFS(schedule[Revenue per Day], schedule[Start Date],"&lt;="&amp;day_cash_behind[[#This Row],[Date]]-$I$2, schedule[Finish Date],"&gt;="&amp;day_cash_behind[[#This Row],[Date]]-$I$2)</f>
        <v>0</v>
      </c>
      <c r="J61" s="3">
        <f>SUM(day_cash_behind[[#Headers],[Labor Cost]]:day_cash_behind[[#This Row],[Labor Cost]])</f>
        <v>117127.60675273083</v>
      </c>
      <c r="K61" s="3">
        <f>SUM(day_cash_behind[[#Headers],[Material Cost]]:day_cash_behind[[#This Row],[Material Cost]])</f>
        <v>5217.3913043478251</v>
      </c>
      <c r="L61" s="3">
        <f>SUM(day_cash_behind[[#Headers],[Equipment Cost]]:day_cash_behind[[#This Row],[Equipment Cost]])</f>
        <v>11320.754716981131</v>
      </c>
      <c r="M61" s="3">
        <f>SUM(day_cash_behind[[#Headers],[Sub Cost]]:day_cash_behind[[#This Row],[Sub Cost]])</f>
        <v>0</v>
      </c>
      <c r="N61" s="3">
        <f>SUM(day_cash_behind[[#Headers],[Other Cost]]:day_cash_behind[[#This Row],[Other Cost]])</f>
        <v>10503.691550451194</v>
      </c>
      <c r="O61" s="3">
        <f>SUM(day_cash_behind[[#This Row],[Cumulative Labor]:[Cumulative Other]])</f>
        <v>144169.44432451099</v>
      </c>
      <c r="P61" s="3">
        <f>SUM(day_cash_behind[[#Headers],[Revenue]]:day_cash_behind[[#This Row],[Revenue]])</f>
        <v>0</v>
      </c>
    </row>
    <row r="62" spans="2:16" x14ac:dyDescent="0.45">
      <c r="B62" s="1">
        <v>46445</v>
      </c>
      <c r="C62" s="4">
        <f>SUMIFS(schedule[Labor CPP], schedule[Start Date],"&lt;="&amp;day_cash_behind[[#This Row],[Date]], schedule[Finish Date],"&gt;="&amp;day_cash_behind[[#This Row],[Date]])</f>
        <v>2917.08043694141</v>
      </c>
      <c r="D62" s="4">
        <f>SUMIFS(schedule[Material CPP], schedule[Start Date],"&lt;="&amp;day_cash_behind[[#This Row],[Date]]-$D$2, schedule[Finish Date],"&gt;="&amp;day_cash_behind[[#This Row],[Date]]-$D$2)</f>
        <v>326.08695652173913</v>
      </c>
      <c r="E62" s="4">
        <f>SUMIFS(schedule[Equipment CPP], schedule[Start Date],"&lt;="&amp;day_cash_behind[[#This Row],[Date]]-$E$2, schedule[Finish Date],"&gt;="&amp;day_cash_behind[[#This Row],[Date]]-$E$2)</f>
        <v>471.69811320754718</v>
      </c>
      <c r="F62" s="4">
        <f>SUMIFS(schedule[Sub CPP], schedule[Start Date],"&lt;="&amp;day_cash_behind[[#This Row],[Date]]-$F$2, schedule[Finish Date],"&gt;="&amp;day_cash_behind[[#This Row],[Date]]-$F$2)</f>
        <v>0</v>
      </c>
      <c r="G62" s="3">
        <f>SUMIFS(schedule[Other CPP], schedule[Start Date],"&lt;="&amp;day_cash_behind[[#This Row],[Date]]-$G$2, schedule[Finish Date],"&gt;="&amp;day_cash_behind[[#This Row],[Date]]-$G$2)</f>
        <v>499.24801750068366</v>
      </c>
      <c r="H62" s="3">
        <f>SUM(day_cash_behind[[#This Row],[Labor Cost]:[Other Cost]])</f>
        <v>4214.11352417138</v>
      </c>
      <c r="I62" s="3">
        <f>SUMIFS(schedule[Revenue per Day], schedule[Start Date],"&lt;="&amp;day_cash_behind[[#This Row],[Date]]-$I$2, schedule[Finish Date],"&gt;="&amp;day_cash_behind[[#This Row],[Date]]-$I$2)</f>
        <v>0</v>
      </c>
      <c r="J62" s="3">
        <f>SUM(day_cash_behind[[#Headers],[Labor Cost]]:day_cash_behind[[#This Row],[Labor Cost]])</f>
        <v>120044.68718967224</v>
      </c>
      <c r="K62" s="3">
        <f>SUM(day_cash_behind[[#Headers],[Material Cost]]:day_cash_behind[[#This Row],[Material Cost]])</f>
        <v>5543.4782608695641</v>
      </c>
      <c r="L62" s="3">
        <f>SUM(day_cash_behind[[#Headers],[Equipment Cost]]:day_cash_behind[[#This Row],[Equipment Cost]])</f>
        <v>11792.452830188678</v>
      </c>
      <c r="M62" s="3">
        <f>SUM(day_cash_behind[[#Headers],[Sub Cost]]:day_cash_behind[[#This Row],[Sub Cost]])</f>
        <v>0</v>
      </c>
      <c r="N62" s="3">
        <f>SUM(day_cash_behind[[#Headers],[Other Cost]]:day_cash_behind[[#This Row],[Other Cost]])</f>
        <v>11002.939567951878</v>
      </c>
      <c r="O62" s="3">
        <f>SUM(day_cash_behind[[#This Row],[Cumulative Labor]:[Cumulative Other]])</f>
        <v>148383.55784868239</v>
      </c>
      <c r="P62" s="3">
        <f>SUM(day_cash_behind[[#Headers],[Revenue]]:day_cash_behind[[#This Row],[Revenue]])</f>
        <v>0</v>
      </c>
    </row>
    <row r="63" spans="2:16" x14ac:dyDescent="0.45">
      <c r="B63" s="1">
        <v>46446</v>
      </c>
      <c r="C63" s="4">
        <f>SUMIFS(schedule[Labor CPP], schedule[Start Date],"&lt;="&amp;day_cash_behind[[#This Row],[Date]], schedule[Finish Date],"&gt;="&amp;day_cash_behind[[#This Row],[Date]])</f>
        <v>2917.08043694141</v>
      </c>
      <c r="D63" s="4">
        <f>SUMIFS(schedule[Material CPP], schedule[Start Date],"&lt;="&amp;day_cash_behind[[#This Row],[Date]]-$D$2, schedule[Finish Date],"&gt;="&amp;day_cash_behind[[#This Row],[Date]]-$D$2)</f>
        <v>326.08695652173913</v>
      </c>
      <c r="E63" s="4">
        <f>SUMIFS(schedule[Equipment CPP], schedule[Start Date],"&lt;="&amp;day_cash_behind[[#This Row],[Date]]-$E$2, schedule[Finish Date],"&gt;="&amp;day_cash_behind[[#This Row],[Date]]-$E$2)</f>
        <v>471.69811320754718</v>
      </c>
      <c r="F63" s="4">
        <f>SUMIFS(schedule[Sub CPP], schedule[Start Date],"&lt;="&amp;day_cash_behind[[#This Row],[Date]]-$F$2, schedule[Finish Date],"&gt;="&amp;day_cash_behind[[#This Row],[Date]]-$F$2)</f>
        <v>0</v>
      </c>
      <c r="G63" s="3">
        <f>SUMIFS(schedule[Other CPP], schedule[Start Date],"&lt;="&amp;day_cash_behind[[#This Row],[Date]]-$G$2, schedule[Finish Date],"&gt;="&amp;day_cash_behind[[#This Row],[Date]]-$G$2)</f>
        <v>499.24801750068366</v>
      </c>
      <c r="H63" s="3">
        <f>SUM(day_cash_behind[[#This Row],[Labor Cost]:[Other Cost]])</f>
        <v>4214.11352417138</v>
      </c>
      <c r="I63" s="3">
        <f>SUMIFS(schedule[Revenue per Day], schedule[Start Date],"&lt;="&amp;day_cash_behind[[#This Row],[Date]]-$I$2, schedule[Finish Date],"&gt;="&amp;day_cash_behind[[#This Row],[Date]]-$I$2)</f>
        <v>0</v>
      </c>
      <c r="J63" s="3">
        <f>SUM(day_cash_behind[[#Headers],[Labor Cost]]:day_cash_behind[[#This Row],[Labor Cost]])</f>
        <v>122961.76762661366</v>
      </c>
      <c r="K63" s="3">
        <f>SUM(day_cash_behind[[#Headers],[Material Cost]]:day_cash_behind[[#This Row],[Material Cost]])</f>
        <v>5869.5652173913031</v>
      </c>
      <c r="L63" s="3">
        <f>SUM(day_cash_behind[[#Headers],[Equipment Cost]]:day_cash_behind[[#This Row],[Equipment Cost]])</f>
        <v>12264.150943396226</v>
      </c>
      <c r="M63" s="3">
        <f>SUM(day_cash_behind[[#Headers],[Sub Cost]]:day_cash_behind[[#This Row],[Sub Cost]])</f>
        <v>0</v>
      </c>
      <c r="N63" s="3">
        <f>SUM(day_cash_behind[[#Headers],[Other Cost]]:day_cash_behind[[#This Row],[Other Cost]])</f>
        <v>11502.187585452562</v>
      </c>
      <c r="O63" s="3">
        <f>SUM(day_cash_behind[[#This Row],[Cumulative Labor]:[Cumulative Other]])</f>
        <v>152597.67137285374</v>
      </c>
      <c r="P63" s="3">
        <f>SUM(day_cash_behind[[#Headers],[Revenue]]:day_cash_behind[[#This Row],[Revenue]])</f>
        <v>0</v>
      </c>
    </row>
    <row r="64" spans="2:16" x14ac:dyDescent="0.45">
      <c r="B64" s="1">
        <v>46447</v>
      </c>
      <c r="C64" s="4">
        <f>SUMIFS(schedule[Labor CPP], schedule[Start Date],"&lt;="&amp;day_cash_behind[[#This Row],[Date]], schedule[Finish Date],"&gt;="&amp;day_cash_behind[[#This Row],[Date]])</f>
        <v>2917.08043694141</v>
      </c>
      <c r="D64" s="4">
        <f>SUMIFS(schedule[Material CPP], schedule[Start Date],"&lt;="&amp;day_cash_behind[[#This Row],[Date]]-$D$2, schedule[Finish Date],"&gt;="&amp;day_cash_behind[[#This Row],[Date]]-$D$2)</f>
        <v>326.08695652173913</v>
      </c>
      <c r="E64" s="4">
        <f>SUMIFS(schedule[Equipment CPP], schedule[Start Date],"&lt;="&amp;day_cash_behind[[#This Row],[Date]]-$E$2, schedule[Finish Date],"&gt;="&amp;day_cash_behind[[#This Row],[Date]]-$E$2)</f>
        <v>471.69811320754718</v>
      </c>
      <c r="F64" s="4">
        <f>SUMIFS(schedule[Sub CPP], schedule[Start Date],"&lt;="&amp;day_cash_behind[[#This Row],[Date]]-$F$2, schedule[Finish Date],"&gt;="&amp;day_cash_behind[[#This Row],[Date]]-$F$2)</f>
        <v>0</v>
      </c>
      <c r="G64" s="3">
        <f>SUMIFS(schedule[Other CPP], schedule[Start Date],"&lt;="&amp;day_cash_behind[[#This Row],[Date]]-$G$2, schedule[Finish Date],"&gt;="&amp;day_cash_behind[[#This Row],[Date]]-$G$2)</f>
        <v>499.24801750068366</v>
      </c>
      <c r="H64" s="3">
        <f>SUM(day_cash_behind[[#This Row],[Labor Cost]:[Other Cost]])</f>
        <v>4214.11352417138</v>
      </c>
      <c r="I64" s="3">
        <f>SUMIFS(schedule[Revenue per Day], schedule[Start Date],"&lt;="&amp;day_cash_behind[[#This Row],[Date]]-$I$2, schedule[Finish Date],"&gt;="&amp;day_cash_behind[[#This Row],[Date]]-$I$2)</f>
        <v>0</v>
      </c>
      <c r="J64" s="3">
        <f>SUM(day_cash_behind[[#Headers],[Labor Cost]]:day_cash_behind[[#This Row],[Labor Cost]])</f>
        <v>125878.84806355507</v>
      </c>
      <c r="K64" s="3">
        <f>SUM(day_cash_behind[[#Headers],[Material Cost]]:day_cash_behind[[#This Row],[Material Cost]])</f>
        <v>6195.6521739130421</v>
      </c>
      <c r="L64" s="3">
        <f>SUM(day_cash_behind[[#Headers],[Equipment Cost]]:day_cash_behind[[#This Row],[Equipment Cost]])</f>
        <v>12735.849056603773</v>
      </c>
      <c r="M64" s="3">
        <f>SUM(day_cash_behind[[#Headers],[Sub Cost]]:day_cash_behind[[#This Row],[Sub Cost]])</f>
        <v>0</v>
      </c>
      <c r="N64" s="3">
        <f>SUM(day_cash_behind[[#Headers],[Other Cost]]:day_cash_behind[[#This Row],[Other Cost]])</f>
        <v>12001.435602953246</v>
      </c>
      <c r="O64" s="3">
        <f>SUM(day_cash_behind[[#This Row],[Cumulative Labor]:[Cumulative Other]])</f>
        <v>156811.78489702512</v>
      </c>
      <c r="P64" s="3">
        <f>SUM(day_cash_behind[[#Headers],[Revenue]]:day_cash_behind[[#This Row],[Revenue]])</f>
        <v>0</v>
      </c>
    </row>
    <row r="65" spans="2:16" x14ac:dyDescent="0.45">
      <c r="B65" s="1">
        <v>46448</v>
      </c>
      <c r="C65" s="4">
        <f>SUMIFS(schedule[Labor CPP], schedule[Start Date],"&lt;="&amp;day_cash_behind[[#This Row],[Date]], schedule[Finish Date],"&gt;="&amp;day_cash_behind[[#This Row],[Date]])</f>
        <v>2917.08043694141</v>
      </c>
      <c r="D65" s="4">
        <f>SUMIFS(schedule[Material CPP], schedule[Start Date],"&lt;="&amp;day_cash_behind[[#This Row],[Date]]-$D$2, schedule[Finish Date],"&gt;="&amp;day_cash_behind[[#This Row],[Date]]-$D$2)</f>
        <v>326.08695652173913</v>
      </c>
      <c r="E65" s="4">
        <f>SUMIFS(schedule[Equipment CPP], schedule[Start Date],"&lt;="&amp;day_cash_behind[[#This Row],[Date]]-$E$2, schedule[Finish Date],"&gt;="&amp;day_cash_behind[[#This Row],[Date]]-$E$2)</f>
        <v>471.69811320754718</v>
      </c>
      <c r="F65" s="4">
        <f>SUMIFS(schedule[Sub CPP], schedule[Start Date],"&lt;="&amp;day_cash_behind[[#This Row],[Date]]-$F$2, schedule[Finish Date],"&gt;="&amp;day_cash_behind[[#This Row],[Date]]-$F$2)</f>
        <v>0</v>
      </c>
      <c r="G65" s="3">
        <f>SUMIFS(schedule[Other CPP], schedule[Start Date],"&lt;="&amp;day_cash_behind[[#This Row],[Date]]-$G$2, schedule[Finish Date],"&gt;="&amp;day_cash_behind[[#This Row],[Date]]-$G$2)</f>
        <v>499.24801750068366</v>
      </c>
      <c r="H65" s="3">
        <f>SUM(day_cash_behind[[#This Row],[Labor Cost]:[Other Cost]])</f>
        <v>4214.11352417138</v>
      </c>
      <c r="I65" s="3">
        <f>SUMIFS(schedule[Revenue per Day], schedule[Start Date],"&lt;="&amp;day_cash_behind[[#This Row],[Date]]-$I$2, schedule[Finish Date],"&gt;="&amp;day_cash_behind[[#This Row],[Date]]-$I$2)</f>
        <v>0</v>
      </c>
      <c r="J65" s="3">
        <f>SUM(day_cash_behind[[#Headers],[Labor Cost]]:day_cash_behind[[#This Row],[Labor Cost]])</f>
        <v>128795.92850049648</v>
      </c>
      <c r="K65" s="3">
        <f>SUM(day_cash_behind[[#Headers],[Material Cost]]:day_cash_behind[[#This Row],[Material Cost]])</f>
        <v>6521.7391304347811</v>
      </c>
      <c r="L65" s="3">
        <f>SUM(day_cash_behind[[#Headers],[Equipment Cost]]:day_cash_behind[[#This Row],[Equipment Cost]])</f>
        <v>13207.54716981132</v>
      </c>
      <c r="M65" s="3">
        <f>SUM(day_cash_behind[[#Headers],[Sub Cost]]:day_cash_behind[[#This Row],[Sub Cost]])</f>
        <v>0</v>
      </c>
      <c r="N65" s="3">
        <f>SUM(day_cash_behind[[#Headers],[Other Cost]]:day_cash_behind[[#This Row],[Other Cost]])</f>
        <v>12500.68362045393</v>
      </c>
      <c r="O65" s="3">
        <f>SUM(day_cash_behind[[#This Row],[Cumulative Labor]:[Cumulative Other]])</f>
        <v>161025.8984211965</v>
      </c>
      <c r="P65" s="3">
        <f>SUM(day_cash_behind[[#Headers],[Revenue]]:day_cash_behind[[#This Row],[Revenue]])</f>
        <v>0</v>
      </c>
    </row>
    <row r="66" spans="2:16" x14ac:dyDescent="0.45">
      <c r="B66" s="1">
        <v>46449</v>
      </c>
      <c r="C66" s="4">
        <f>SUMIFS(schedule[Labor CPP], schedule[Start Date],"&lt;="&amp;day_cash_behind[[#This Row],[Date]], schedule[Finish Date],"&gt;="&amp;day_cash_behind[[#This Row],[Date]])</f>
        <v>2917.08043694141</v>
      </c>
      <c r="D66" s="4">
        <f>SUMIFS(schedule[Material CPP], schedule[Start Date],"&lt;="&amp;day_cash_behind[[#This Row],[Date]]-$D$2, schedule[Finish Date],"&gt;="&amp;day_cash_behind[[#This Row],[Date]]-$D$2)</f>
        <v>326.08695652173913</v>
      </c>
      <c r="E66" s="4">
        <f>SUMIFS(schedule[Equipment CPP], schedule[Start Date],"&lt;="&amp;day_cash_behind[[#This Row],[Date]]-$E$2, schedule[Finish Date],"&gt;="&amp;day_cash_behind[[#This Row],[Date]]-$E$2)</f>
        <v>471.69811320754718</v>
      </c>
      <c r="F66" s="4">
        <f>SUMIFS(schedule[Sub CPP], schedule[Start Date],"&lt;="&amp;day_cash_behind[[#This Row],[Date]]-$F$2, schedule[Finish Date],"&gt;="&amp;day_cash_behind[[#This Row],[Date]]-$F$2)</f>
        <v>0</v>
      </c>
      <c r="G66" s="3">
        <f>SUMIFS(schedule[Other CPP], schedule[Start Date],"&lt;="&amp;day_cash_behind[[#This Row],[Date]]-$G$2, schedule[Finish Date],"&gt;="&amp;day_cash_behind[[#This Row],[Date]]-$G$2)</f>
        <v>499.24801750068366</v>
      </c>
      <c r="H66" s="3">
        <f>SUM(day_cash_behind[[#This Row],[Labor Cost]:[Other Cost]])</f>
        <v>4214.11352417138</v>
      </c>
      <c r="I66" s="3">
        <f>SUMIFS(schedule[Revenue per Day], schedule[Start Date],"&lt;="&amp;day_cash_behind[[#This Row],[Date]]-$I$2, schedule[Finish Date],"&gt;="&amp;day_cash_behind[[#This Row],[Date]]-$I$2)</f>
        <v>0</v>
      </c>
      <c r="J66" s="3">
        <f>SUM(day_cash_behind[[#Headers],[Labor Cost]]:day_cash_behind[[#This Row],[Labor Cost]])</f>
        <v>131713.00893743787</v>
      </c>
      <c r="K66" s="3">
        <f>SUM(day_cash_behind[[#Headers],[Material Cost]]:day_cash_behind[[#This Row],[Material Cost]])</f>
        <v>6847.8260869565202</v>
      </c>
      <c r="L66" s="3">
        <f>SUM(day_cash_behind[[#Headers],[Equipment Cost]]:day_cash_behind[[#This Row],[Equipment Cost]])</f>
        <v>13679.245283018867</v>
      </c>
      <c r="M66" s="3">
        <f>SUM(day_cash_behind[[#Headers],[Sub Cost]]:day_cash_behind[[#This Row],[Sub Cost]])</f>
        <v>0</v>
      </c>
      <c r="N66" s="3">
        <f>SUM(day_cash_behind[[#Headers],[Other Cost]]:day_cash_behind[[#This Row],[Other Cost]])</f>
        <v>12999.931637954614</v>
      </c>
      <c r="O66" s="3">
        <f>SUM(day_cash_behind[[#This Row],[Cumulative Labor]:[Cumulative Other]])</f>
        <v>165240.01194536785</v>
      </c>
      <c r="P66" s="3">
        <f>SUM(day_cash_behind[[#Headers],[Revenue]]:day_cash_behind[[#This Row],[Revenue]])</f>
        <v>0</v>
      </c>
    </row>
    <row r="67" spans="2:16" x14ac:dyDescent="0.45">
      <c r="B67" s="1">
        <v>46450</v>
      </c>
      <c r="C67" s="4">
        <f>SUMIFS(schedule[Labor CPP], schedule[Start Date],"&lt;="&amp;day_cash_behind[[#This Row],[Date]], schedule[Finish Date],"&gt;="&amp;day_cash_behind[[#This Row],[Date]])</f>
        <v>2917.08043694141</v>
      </c>
      <c r="D67" s="4">
        <f>SUMIFS(schedule[Material CPP], schedule[Start Date],"&lt;="&amp;day_cash_behind[[#This Row],[Date]]-$D$2, schedule[Finish Date],"&gt;="&amp;day_cash_behind[[#This Row],[Date]]-$D$2)</f>
        <v>326.08695652173913</v>
      </c>
      <c r="E67" s="4">
        <f>SUMIFS(schedule[Equipment CPP], schedule[Start Date],"&lt;="&amp;day_cash_behind[[#This Row],[Date]]-$E$2, schedule[Finish Date],"&gt;="&amp;day_cash_behind[[#This Row],[Date]]-$E$2)</f>
        <v>471.69811320754718</v>
      </c>
      <c r="F67" s="4">
        <f>SUMIFS(schedule[Sub CPP], schedule[Start Date],"&lt;="&amp;day_cash_behind[[#This Row],[Date]]-$F$2, schedule[Finish Date],"&gt;="&amp;day_cash_behind[[#This Row],[Date]]-$F$2)</f>
        <v>0</v>
      </c>
      <c r="G67" s="3">
        <f>SUMIFS(schedule[Other CPP], schedule[Start Date],"&lt;="&amp;day_cash_behind[[#This Row],[Date]]-$G$2, schedule[Finish Date],"&gt;="&amp;day_cash_behind[[#This Row],[Date]]-$G$2)</f>
        <v>499.24801750068366</v>
      </c>
      <c r="H67" s="3">
        <f>SUM(day_cash_behind[[#This Row],[Labor Cost]:[Other Cost]])</f>
        <v>4214.11352417138</v>
      </c>
      <c r="I67" s="3">
        <f>SUMIFS(schedule[Revenue per Day], schedule[Start Date],"&lt;="&amp;day_cash_behind[[#This Row],[Date]]-$I$2, schedule[Finish Date],"&gt;="&amp;day_cash_behind[[#This Row],[Date]]-$I$2)</f>
        <v>0</v>
      </c>
      <c r="J67" s="3">
        <f>SUM(day_cash_behind[[#Headers],[Labor Cost]]:day_cash_behind[[#This Row],[Labor Cost]])</f>
        <v>134630.08937437928</v>
      </c>
      <c r="K67" s="3">
        <f>SUM(day_cash_behind[[#Headers],[Material Cost]]:day_cash_behind[[#This Row],[Material Cost]])</f>
        <v>7173.9130434782592</v>
      </c>
      <c r="L67" s="3">
        <f>SUM(day_cash_behind[[#Headers],[Equipment Cost]]:day_cash_behind[[#This Row],[Equipment Cost]])</f>
        <v>14150.943396226414</v>
      </c>
      <c r="M67" s="3">
        <f>SUM(day_cash_behind[[#Headers],[Sub Cost]]:day_cash_behind[[#This Row],[Sub Cost]])</f>
        <v>0</v>
      </c>
      <c r="N67" s="3">
        <f>SUM(day_cash_behind[[#Headers],[Other Cost]]:day_cash_behind[[#This Row],[Other Cost]])</f>
        <v>13499.179655455298</v>
      </c>
      <c r="O67" s="3">
        <f>SUM(day_cash_behind[[#This Row],[Cumulative Labor]:[Cumulative Other]])</f>
        <v>169454.12546953926</v>
      </c>
      <c r="P67" s="3">
        <f>SUM(day_cash_behind[[#Headers],[Revenue]]:day_cash_behind[[#This Row],[Revenue]])</f>
        <v>0</v>
      </c>
    </row>
    <row r="68" spans="2:16" x14ac:dyDescent="0.45">
      <c r="B68" s="1">
        <v>46451</v>
      </c>
      <c r="C68" s="4">
        <f>SUMIFS(schedule[Labor CPP], schedule[Start Date],"&lt;="&amp;day_cash_behind[[#This Row],[Date]], schedule[Finish Date],"&gt;="&amp;day_cash_behind[[#This Row],[Date]])</f>
        <v>6986.8478788018747</v>
      </c>
      <c r="D68" s="4">
        <f>SUMIFS(schedule[Material CPP], schedule[Start Date],"&lt;="&amp;day_cash_behind[[#This Row],[Date]]-$D$2, schedule[Finish Date],"&gt;="&amp;day_cash_behind[[#This Row],[Date]]-$D$2)</f>
        <v>326.08695652173913</v>
      </c>
      <c r="E68" s="4">
        <f>SUMIFS(schedule[Equipment CPP], schedule[Start Date],"&lt;="&amp;day_cash_behind[[#This Row],[Date]]-$E$2, schedule[Finish Date],"&gt;="&amp;day_cash_behind[[#This Row],[Date]]-$E$2)</f>
        <v>471.69811320754718</v>
      </c>
      <c r="F68" s="4">
        <f>SUMIFS(schedule[Sub CPP], schedule[Start Date],"&lt;="&amp;day_cash_behind[[#This Row],[Date]]-$F$2, schedule[Finish Date],"&gt;="&amp;day_cash_behind[[#This Row],[Date]]-$F$2)</f>
        <v>0</v>
      </c>
      <c r="G68" s="3">
        <f>SUMIFS(schedule[Other CPP], schedule[Start Date],"&lt;="&amp;day_cash_behind[[#This Row],[Date]]-$G$2, schedule[Finish Date],"&gt;="&amp;day_cash_behind[[#This Row],[Date]]-$G$2)</f>
        <v>499.24801750068366</v>
      </c>
      <c r="H68" s="3">
        <f>SUM(day_cash_behind[[#This Row],[Labor Cost]:[Other Cost]])</f>
        <v>8283.8809660318439</v>
      </c>
      <c r="I68" s="3">
        <f>SUMIFS(schedule[Revenue per Day], schedule[Start Date],"&lt;="&amp;day_cash_behind[[#This Row],[Date]]-$I$2, schedule[Finish Date],"&gt;="&amp;day_cash_behind[[#This Row],[Date]]-$I$2)</f>
        <v>0</v>
      </c>
      <c r="J68" s="3">
        <f>SUM(day_cash_behind[[#Headers],[Labor Cost]]:day_cash_behind[[#This Row],[Labor Cost]])</f>
        <v>141616.93725318115</v>
      </c>
      <c r="K68" s="3">
        <f>SUM(day_cash_behind[[#Headers],[Material Cost]]:day_cash_behind[[#This Row],[Material Cost]])</f>
        <v>7499.9999999999982</v>
      </c>
      <c r="L68" s="3">
        <f>SUM(day_cash_behind[[#Headers],[Equipment Cost]]:day_cash_behind[[#This Row],[Equipment Cost]])</f>
        <v>14622.641509433961</v>
      </c>
      <c r="M68" s="3">
        <f>SUM(day_cash_behind[[#Headers],[Sub Cost]]:day_cash_behind[[#This Row],[Sub Cost]])</f>
        <v>0</v>
      </c>
      <c r="N68" s="3">
        <f>SUM(day_cash_behind[[#Headers],[Other Cost]]:day_cash_behind[[#This Row],[Other Cost]])</f>
        <v>13998.427672955982</v>
      </c>
      <c r="O68" s="3">
        <f>SUM(day_cash_behind[[#This Row],[Cumulative Labor]:[Cumulative Other]])</f>
        <v>177738.00643557109</v>
      </c>
      <c r="P68" s="3">
        <f>SUM(day_cash_behind[[#Headers],[Revenue]]:day_cash_behind[[#This Row],[Revenue]])</f>
        <v>0</v>
      </c>
    </row>
    <row r="69" spans="2:16" x14ac:dyDescent="0.45">
      <c r="B69" s="1">
        <v>46452</v>
      </c>
      <c r="C69" s="4">
        <f>SUMIFS(schedule[Labor CPP], schedule[Start Date],"&lt;="&amp;day_cash_behind[[#This Row],[Date]], schedule[Finish Date],"&gt;="&amp;day_cash_behind[[#This Row],[Date]])</f>
        <v>5013.1636682755598</v>
      </c>
      <c r="D69" s="4">
        <f>SUMIFS(schedule[Material CPP], schedule[Start Date],"&lt;="&amp;day_cash_behind[[#This Row],[Date]]-$D$2, schedule[Finish Date],"&gt;="&amp;day_cash_behind[[#This Row],[Date]]-$D$2)</f>
        <v>326.08695652173913</v>
      </c>
      <c r="E69" s="4">
        <f>SUMIFS(schedule[Equipment CPP], schedule[Start Date],"&lt;="&amp;day_cash_behind[[#This Row],[Date]]-$E$2, schedule[Finish Date],"&gt;="&amp;day_cash_behind[[#This Row],[Date]]-$E$2)</f>
        <v>471.69811320754718</v>
      </c>
      <c r="F69" s="4">
        <f>SUMIFS(schedule[Sub CPP], schedule[Start Date],"&lt;="&amp;day_cash_behind[[#This Row],[Date]]-$F$2, schedule[Finish Date],"&gt;="&amp;day_cash_behind[[#This Row],[Date]]-$F$2)</f>
        <v>0</v>
      </c>
      <c r="G69" s="3">
        <f>SUMIFS(schedule[Other CPP], schedule[Start Date],"&lt;="&amp;day_cash_behind[[#This Row],[Date]]-$G$2, schedule[Finish Date],"&gt;="&amp;day_cash_behind[[#This Row],[Date]]-$G$2)</f>
        <v>499.24801750068366</v>
      </c>
      <c r="H69" s="3">
        <f>SUM(day_cash_behind[[#This Row],[Labor Cost]:[Other Cost]])</f>
        <v>6310.1967555055298</v>
      </c>
      <c r="I69" s="3">
        <f>SUMIFS(schedule[Revenue per Day], schedule[Start Date],"&lt;="&amp;day_cash_behind[[#This Row],[Date]]-$I$2, schedule[Finish Date],"&gt;="&amp;day_cash_behind[[#This Row],[Date]]-$I$2)</f>
        <v>0</v>
      </c>
      <c r="J69" s="3">
        <f>SUM(day_cash_behind[[#Headers],[Labor Cost]]:day_cash_behind[[#This Row],[Labor Cost]])</f>
        <v>146630.1009214567</v>
      </c>
      <c r="K69" s="3">
        <f>SUM(day_cash_behind[[#Headers],[Material Cost]]:day_cash_behind[[#This Row],[Material Cost]])</f>
        <v>7826.0869565217372</v>
      </c>
      <c r="L69" s="3">
        <f>SUM(day_cash_behind[[#Headers],[Equipment Cost]]:day_cash_behind[[#This Row],[Equipment Cost]])</f>
        <v>15094.339622641508</v>
      </c>
      <c r="M69" s="3">
        <f>SUM(day_cash_behind[[#Headers],[Sub Cost]]:day_cash_behind[[#This Row],[Sub Cost]])</f>
        <v>0</v>
      </c>
      <c r="N69" s="3">
        <f>SUM(day_cash_behind[[#Headers],[Other Cost]]:day_cash_behind[[#This Row],[Other Cost]])</f>
        <v>14497.675690456666</v>
      </c>
      <c r="O69" s="3">
        <f>SUM(day_cash_behind[[#This Row],[Cumulative Labor]:[Cumulative Other]])</f>
        <v>184048.20319107661</v>
      </c>
      <c r="P69" s="3">
        <f>SUM(day_cash_behind[[#Headers],[Revenue]]:day_cash_behind[[#This Row],[Revenue]])</f>
        <v>0</v>
      </c>
    </row>
    <row r="70" spans="2:16" x14ac:dyDescent="0.45">
      <c r="B70" s="1">
        <v>46453</v>
      </c>
      <c r="C70" s="4">
        <f>SUMIFS(schedule[Labor CPP], schedule[Start Date],"&lt;="&amp;day_cash_behind[[#This Row],[Date]], schedule[Finish Date],"&gt;="&amp;day_cash_behind[[#This Row],[Date]])</f>
        <v>5013.1636682755598</v>
      </c>
      <c r="D70" s="4">
        <f>SUMIFS(schedule[Material CPP], schedule[Start Date],"&lt;="&amp;day_cash_behind[[#This Row],[Date]]-$D$2, schedule[Finish Date],"&gt;="&amp;day_cash_behind[[#This Row],[Date]]-$D$2)</f>
        <v>326.08695652173913</v>
      </c>
      <c r="E70" s="4">
        <f>SUMIFS(schedule[Equipment CPP], schedule[Start Date],"&lt;="&amp;day_cash_behind[[#This Row],[Date]]-$E$2, schedule[Finish Date],"&gt;="&amp;day_cash_behind[[#This Row],[Date]]-$E$2)</f>
        <v>471.69811320754718</v>
      </c>
      <c r="F70" s="4">
        <f>SUMIFS(schedule[Sub CPP], schedule[Start Date],"&lt;="&amp;day_cash_behind[[#This Row],[Date]]-$F$2, schedule[Finish Date],"&gt;="&amp;day_cash_behind[[#This Row],[Date]]-$F$2)</f>
        <v>0</v>
      </c>
      <c r="G70" s="3">
        <f>SUMIFS(schedule[Other CPP], schedule[Start Date],"&lt;="&amp;day_cash_behind[[#This Row],[Date]]-$G$2, schedule[Finish Date],"&gt;="&amp;day_cash_behind[[#This Row],[Date]]-$G$2)</f>
        <v>499.24801750068366</v>
      </c>
      <c r="H70" s="3">
        <f>SUM(day_cash_behind[[#This Row],[Labor Cost]:[Other Cost]])</f>
        <v>6310.1967555055298</v>
      </c>
      <c r="I70" s="3">
        <f>SUMIFS(schedule[Revenue per Day], schedule[Start Date],"&lt;="&amp;day_cash_behind[[#This Row],[Date]]-$I$2, schedule[Finish Date],"&gt;="&amp;day_cash_behind[[#This Row],[Date]]-$I$2)</f>
        <v>0</v>
      </c>
      <c r="J70" s="3">
        <f>SUM(day_cash_behind[[#Headers],[Labor Cost]]:day_cash_behind[[#This Row],[Labor Cost]])</f>
        <v>151643.26458973225</v>
      </c>
      <c r="K70" s="3">
        <f>SUM(day_cash_behind[[#Headers],[Material Cost]]:day_cash_behind[[#This Row],[Material Cost]])</f>
        <v>8152.1739130434762</v>
      </c>
      <c r="L70" s="3">
        <f>SUM(day_cash_behind[[#Headers],[Equipment Cost]]:day_cash_behind[[#This Row],[Equipment Cost]])</f>
        <v>15566.037735849055</v>
      </c>
      <c r="M70" s="3">
        <f>SUM(day_cash_behind[[#Headers],[Sub Cost]]:day_cash_behind[[#This Row],[Sub Cost]])</f>
        <v>0</v>
      </c>
      <c r="N70" s="3">
        <f>SUM(day_cash_behind[[#Headers],[Other Cost]]:day_cash_behind[[#This Row],[Other Cost]])</f>
        <v>14996.92370795735</v>
      </c>
      <c r="O70" s="3">
        <f>SUM(day_cash_behind[[#This Row],[Cumulative Labor]:[Cumulative Other]])</f>
        <v>190358.39994658215</v>
      </c>
      <c r="P70" s="3">
        <f>SUM(day_cash_behind[[#Headers],[Revenue]]:day_cash_behind[[#This Row],[Revenue]])</f>
        <v>0</v>
      </c>
    </row>
    <row r="71" spans="2:16" x14ac:dyDescent="0.45">
      <c r="B71" s="1">
        <v>46454</v>
      </c>
      <c r="C71" s="4">
        <f>SUMIFS(schedule[Labor CPP], schedule[Start Date],"&lt;="&amp;day_cash_behind[[#This Row],[Date]], schedule[Finish Date],"&gt;="&amp;day_cash_behind[[#This Row],[Date]])</f>
        <v>5013.1636682755598</v>
      </c>
      <c r="D71" s="4">
        <f>SUMIFS(schedule[Material CPP], schedule[Start Date],"&lt;="&amp;day_cash_behind[[#This Row],[Date]]-$D$2, schedule[Finish Date],"&gt;="&amp;day_cash_behind[[#This Row],[Date]]-$D$2)</f>
        <v>326.08695652173913</v>
      </c>
      <c r="E71" s="4">
        <f>SUMIFS(schedule[Equipment CPP], schedule[Start Date],"&lt;="&amp;day_cash_behind[[#This Row],[Date]]-$E$2, schedule[Finish Date],"&gt;="&amp;day_cash_behind[[#This Row],[Date]]-$E$2)</f>
        <v>471.69811320754718</v>
      </c>
      <c r="F71" s="4">
        <f>SUMIFS(schedule[Sub CPP], schedule[Start Date],"&lt;="&amp;day_cash_behind[[#This Row],[Date]]-$F$2, schedule[Finish Date],"&gt;="&amp;day_cash_behind[[#This Row],[Date]]-$F$2)</f>
        <v>0</v>
      </c>
      <c r="G71" s="3">
        <f>SUMIFS(schedule[Other CPP], schedule[Start Date],"&lt;="&amp;day_cash_behind[[#This Row],[Date]]-$G$2, schedule[Finish Date],"&gt;="&amp;day_cash_behind[[#This Row],[Date]]-$G$2)</f>
        <v>499.24801750068366</v>
      </c>
      <c r="H71" s="3">
        <f>SUM(day_cash_behind[[#This Row],[Labor Cost]:[Other Cost]])</f>
        <v>6310.1967555055298</v>
      </c>
      <c r="I71" s="3">
        <f>SUMIFS(schedule[Revenue per Day], schedule[Start Date],"&lt;="&amp;day_cash_behind[[#This Row],[Date]]-$I$2, schedule[Finish Date],"&gt;="&amp;day_cash_behind[[#This Row],[Date]]-$I$2)</f>
        <v>0</v>
      </c>
      <c r="J71" s="3">
        <f>SUM(day_cash_behind[[#Headers],[Labor Cost]]:day_cash_behind[[#This Row],[Labor Cost]])</f>
        <v>156656.4282580078</v>
      </c>
      <c r="K71" s="3">
        <f>SUM(day_cash_behind[[#Headers],[Material Cost]]:day_cash_behind[[#This Row],[Material Cost]])</f>
        <v>8478.2608695652161</v>
      </c>
      <c r="L71" s="3">
        <f>SUM(day_cash_behind[[#Headers],[Equipment Cost]]:day_cash_behind[[#This Row],[Equipment Cost]])</f>
        <v>16037.735849056602</v>
      </c>
      <c r="M71" s="3">
        <f>SUM(day_cash_behind[[#Headers],[Sub Cost]]:day_cash_behind[[#This Row],[Sub Cost]])</f>
        <v>0</v>
      </c>
      <c r="N71" s="3">
        <f>SUM(day_cash_behind[[#Headers],[Other Cost]]:day_cash_behind[[#This Row],[Other Cost]])</f>
        <v>15496.171725458034</v>
      </c>
      <c r="O71" s="3">
        <f>SUM(day_cash_behind[[#This Row],[Cumulative Labor]:[Cumulative Other]])</f>
        <v>196668.59670208764</v>
      </c>
      <c r="P71" s="3">
        <f>SUM(day_cash_behind[[#Headers],[Revenue]]:day_cash_behind[[#This Row],[Revenue]])</f>
        <v>0</v>
      </c>
    </row>
    <row r="72" spans="2:16" x14ac:dyDescent="0.45">
      <c r="B72" s="1">
        <v>46455</v>
      </c>
      <c r="C72" s="4">
        <f>SUMIFS(schedule[Labor CPP], schedule[Start Date],"&lt;="&amp;day_cash_behind[[#This Row],[Date]], schedule[Finish Date],"&gt;="&amp;day_cash_behind[[#This Row],[Date]])</f>
        <v>5013.1636682755598</v>
      </c>
      <c r="D72" s="4">
        <f>SUMIFS(schedule[Material CPP], schedule[Start Date],"&lt;="&amp;day_cash_behind[[#This Row],[Date]]-$D$2, schedule[Finish Date],"&gt;="&amp;day_cash_behind[[#This Row],[Date]]-$D$2)</f>
        <v>326.08695652173913</v>
      </c>
      <c r="E72" s="4">
        <f>SUMIFS(schedule[Equipment CPP], schedule[Start Date],"&lt;="&amp;day_cash_behind[[#This Row],[Date]]-$E$2, schedule[Finish Date],"&gt;="&amp;day_cash_behind[[#This Row],[Date]]-$E$2)</f>
        <v>471.69811320754718</v>
      </c>
      <c r="F72" s="4">
        <f>SUMIFS(schedule[Sub CPP], schedule[Start Date],"&lt;="&amp;day_cash_behind[[#This Row],[Date]]-$F$2, schedule[Finish Date],"&gt;="&amp;day_cash_behind[[#This Row],[Date]]-$F$2)</f>
        <v>0</v>
      </c>
      <c r="G72" s="3">
        <f>SUMIFS(schedule[Other CPP], schedule[Start Date],"&lt;="&amp;day_cash_behind[[#This Row],[Date]]-$G$2, schedule[Finish Date],"&gt;="&amp;day_cash_behind[[#This Row],[Date]]-$G$2)</f>
        <v>499.24801750068366</v>
      </c>
      <c r="H72" s="3">
        <f>SUM(day_cash_behind[[#This Row],[Labor Cost]:[Other Cost]])</f>
        <v>6310.1967555055298</v>
      </c>
      <c r="I72" s="3">
        <f>SUMIFS(schedule[Revenue per Day], schedule[Start Date],"&lt;="&amp;day_cash_behind[[#This Row],[Date]]-$I$2, schedule[Finish Date],"&gt;="&amp;day_cash_behind[[#This Row],[Date]]-$I$2)</f>
        <v>0</v>
      </c>
      <c r="J72" s="3">
        <f>SUM(day_cash_behind[[#Headers],[Labor Cost]]:day_cash_behind[[#This Row],[Labor Cost]])</f>
        <v>161669.59192628335</v>
      </c>
      <c r="K72" s="3">
        <f>SUM(day_cash_behind[[#Headers],[Material Cost]]:day_cash_behind[[#This Row],[Material Cost]])</f>
        <v>8804.347826086956</v>
      </c>
      <c r="L72" s="3">
        <f>SUM(day_cash_behind[[#Headers],[Equipment Cost]]:day_cash_behind[[#This Row],[Equipment Cost]])</f>
        <v>16509.433962264149</v>
      </c>
      <c r="M72" s="3">
        <f>SUM(day_cash_behind[[#Headers],[Sub Cost]]:day_cash_behind[[#This Row],[Sub Cost]])</f>
        <v>0</v>
      </c>
      <c r="N72" s="3">
        <f>SUM(day_cash_behind[[#Headers],[Other Cost]]:day_cash_behind[[#This Row],[Other Cost]])</f>
        <v>15995.419742958718</v>
      </c>
      <c r="O72" s="3">
        <f>SUM(day_cash_behind[[#This Row],[Cumulative Labor]:[Cumulative Other]])</f>
        <v>202978.79345759316</v>
      </c>
      <c r="P72" s="3">
        <f>SUM(day_cash_behind[[#Headers],[Revenue]]:day_cash_behind[[#This Row],[Revenue]])</f>
        <v>0</v>
      </c>
    </row>
    <row r="73" spans="2:16" x14ac:dyDescent="0.45">
      <c r="B73" s="1">
        <v>46456</v>
      </c>
      <c r="C73" s="4">
        <f>SUMIFS(schedule[Labor CPP], schedule[Start Date],"&lt;="&amp;day_cash_behind[[#This Row],[Date]], schedule[Finish Date],"&gt;="&amp;day_cash_behind[[#This Row],[Date]])</f>
        <v>5013.1636682755598</v>
      </c>
      <c r="D73" s="4">
        <f>SUMIFS(schedule[Material CPP], schedule[Start Date],"&lt;="&amp;day_cash_behind[[#This Row],[Date]]-$D$2, schedule[Finish Date],"&gt;="&amp;day_cash_behind[[#This Row],[Date]]-$D$2)</f>
        <v>326.08695652173913</v>
      </c>
      <c r="E73" s="4">
        <f>SUMIFS(schedule[Equipment CPP], schedule[Start Date],"&lt;="&amp;day_cash_behind[[#This Row],[Date]]-$E$2, schedule[Finish Date],"&gt;="&amp;day_cash_behind[[#This Row],[Date]]-$E$2)</f>
        <v>471.69811320754718</v>
      </c>
      <c r="F73" s="4">
        <f>SUMIFS(schedule[Sub CPP], schedule[Start Date],"&lt;="&amp;day_cash_behind[[#This Row],[Date]]-$F$2, schedule[Finish Date],"&gt;="&amp;day_cash_behind[[#This Row],[Date]]-$F$2)</f>
        <v>0</v>
      </c>
      <c r="G73" s="3">
        <f>SUMIFS(schedule[Other CPP], schedule[Start Date],"&lt;="&amp;day_cash_behind[[#This Row],[Date]]-$G$2, schedule[Finish Date],"&gt;="&amp;day_cash_behind[[#This Row],[Date]]-$G$2)</f>
        <v>499.24801750068366</v>
      </c>
      <c r="H73" s="3">
        <f>SUM(day_cash_behind[[#This Row],[Labor Cost]:[Other Cost]])</f>
        <v>6310.1967555055298</v>
      </c>
      <c r="I73" s="3">
        <f>SUMIFS(schedule[Revenue per Day], schedule[Start Date],"&lt;="&amp;day_cash_behind[[#This Row],[Date]]-$I$2, schedule[Finish Date],"&gt;="&amp;day_cash_behind[[#This Row],[Date]]-$I$2)</f>
        <v>0</v>
      </c>
      <c r="J73" s="3">
        <f>SUM(day_cash_behind[[#Headers],[Labor Cost]]:day_cash_behind[[#This Row],[Labor Cost]])</f>
        <v>166682.7555945589</v>
      </c>
      <c r="K73" s="3">
        <f>SUM(day_cash_behind[[#Headers],[Material Cost]]:day_cash_behind[[#This Row],[Material Cost]])</f>
        <v>9130.434782608696</v>
      </c>
      <c r="L73" s="3">
        <f>SUM(day_cash_behind[[#Headers],[Equipment Cost]]:day_cash_behind[[#This Row],[Equipment Cost]])</f>
        <v>16981.132075471698</v>
      </c>
      <c r="M73" s="3">
        <f>SUM(day_cash_behind[[#Headers],[Sub Cost]]:day_cash_behind[[#This Row],[Sub Cost]])</f>
        <v>0</v>
      </c>
      <c r="N73" s="3">
        <f>SUM(day_cash_behind[[#Headers],[Other Cost]]:day_cash_behind[[#This Row],[Other Cost]])</f>
        <v>16494.667760459401</v>
      </c>
      <c r="O73" s="3">
        <f>SUM(day_cash_behind[[#This Row],[Cumulative Labor]:[Cumulative Other]])</f>
        <v>209288.9902130987</v>
      </c>
      <c r="P73" s="3">
        <f>SUM(day_cash_behind[[#Headers],[Revenue]]:day_cash_behind[[#This Row],[Revenue]])</f>
        <v>0</v>
      </c>
    </row>
    <row r="74" spans="2:16" x14ac:dyDescent="0.45">
      <c r="B74" s="1">
        <v>46457</v>
      </c>
      <c r="C74" s="4">
        <f>SUMIFS(schedule[Labor CPP], schedule[Start Date],"&lt;="&amp;day_cash_behind[[#This Row],[Date]], schedule[Finish Date],"&gt;="&amp;day_cash_behind[[#This Row],[Date]])</f>
        <v>5013.1636682755598</v>
      </c>
      <c r="D74" s="4">
        <f>SUMIFS(schedule[Material CPP], schedule[Start Date],"&lt;="&amp;day_cash_behind[[#This Row],[Date]]-$D$2, schedule[Finish Date],"&gt;="&amp;day_cash_behind[[#This Row],[Date]]-$D$2)</f>
        <v>326.08695652173913</v>
      </c>
      <c r="E74" s="4">
        <f>SUMIFS(schedule[Equipment CPP], schedule[Start Date],"&lt;="&amp;day_cash_behind[[#This Row],[Date]]-$E$2, schedule[Finish Date],"&gt;="&amp;day_cash_behind[[#This Row],[Date]]-$E$2)</f>
        <v>471.69811320754718</v>
      </c>
      <c r="F74" s="4">
        <f>SUMIFS(schedule[Sub CPP], schedule[Start Date],"&lt;="&amp;day_cash_behind[[#This Row],[Date]]-$F$2, schedule[Finish Date],"&gt;="&amp;day_cash_behind[[#This Row],[Date]]-$F$2)</f>
        <v>0</v>
      </c>
      <c r="G74" s="3">
        <f>SUMIFS(schedule[Other CPP], schedule[Start Date],"&lt;="&amp;day_cash_behind[[#This Row],[Date]]-$G$2, schedule[Finish Date],"&gt;="&amp;day_cash_behind[[#This Row],[Date]]-$G$2)</f>
        <v>499.24801750068366</v>
      </c>
      <c r="H74" s="3">
        <f>SUM(day_cash_behind[[#This Row],[Labor Cost]:[Other Cost]])</f>
        <v>6310.1967555055298</v>
      </c>
      <c r="I74" s="3">
        <f>SUMIFS(schedule[Revenue per Day], schedule[Start Date],"&lt;="&amp;day_cash_behind[[#This Row],[Date]]-$I$2, schedule[Finish Date],"&gt;="&amp;day_cash_behind[[#This Row],[Date]]-$I$2)</f>
        <v>0</v>
      </c>
      <c r="J74" s="3">
        <f>SUM(day_cash_behind[[#Headers],[Labor Cost]]:day_cash_behind[[#This Row],[Labor Cost]])</f>
        <v>171695.91926283445</v>
      </c>
      <c r="K74" s="3">
        <f>SUM(day_cash_behind[[#Headers],[Material Cost]]:day_cash_behind[[#This Row],[Material Cost]])</f>
        <v>9456.5217391304359</v>
      </c>
      <c r="L74" s="3">
        <f>SUM(day_cash_behind[[#Headers],[Equipment Cost]]:day_cash_behind[[#This Row],[Equipment Cost]])</f>
        <v>17452.830188679247</v>
      </c>
      <c r="M74" s="3">
        <f>SUM(day_cash_behind[[#Headers],[Sub Cost]]:day_cash_behind[[#This Row],[Sub Cost]])</f>
        <v>0</v>
      </c>
      <c r="N74" s="3">
        <f>SUM(day_cash_behind[[#Headers],[Other Cost]]:day_cash_behind[[#This Row],[Other Cost]])</f>
        <v>16993.915777960083</v>
      </c>
      <c r="O74" s="3">
        <f>SUM(day_cash_behind[[#This Row],[Cumulative Labor]:[Cumulative Other]])</f>
        <v>215599.18696860422</v>
      </c>
      <c r="P74" s="3">
        <f>SUM(day_cash_behind[[#Headers],[Revenue]]:day_cash_behind[[#This Row],[Revenue]])</f>
        <v>0</v>
      </c>
    </row>
    <row r="75" spans="2:16" x14ac:dyDescent="0.45">
      <c r="B75" s="1">
        <v>46458</v>
      </c>
      <c r="C75" s="4">
        <f>SUMIFS(schedule[Labor CPP], schedule[Start Date],"&lt;="&amp;day_cash_behind[[#This Row],[Date]], schedule[Finish Date],"&gt;="&amp;day_cash_behind[[#This Row],[Date]])</f>
        <v>5013.1636682755598</v>
      </c>
      <c r="D75" s="4">
        <f>SUMIFS(schedule[Material CPP], schedule[Start Date],"&lt;="&amp;day_cash_behind[[#This Row],[Date]]-$D$2, schedule[Finish Date],"&gt;="&amp;day_cash_behind[[#This Row],[Date]]-$D$2)</f>
        <v>326.08695652173913</v>
      </c>
      <c r="E75" s="4">
        <f>SUMIFS(schedule[Equipment CPP], schedule[Start Date],"&lt;="&amp;day_cash_behind[[#This Row],[Date]]-$E$2, schedule[Finish Date],"&gt;="&amp;day_cash_behind[[#This Row],[Date]]-$E$2)</f>
        <v>471.69811320754718</v>
      </c>
      <c r="F75" s="4">
        <f>SUMIFS(schedule[Sub CPP], schedule[Start Date],"&lt;="&amp;day_cash_behind[[#This Row],[Date]]-$F$2, schedule[Finish Date],"&gt;="&amp;day_cash_behind[[#This Row],[Date]]-$F$2)</f>
        <v>0</v>
      </c>
      <c r="G75" s="3">
        <f>SUMIFS(schedule[Other CPP], schedule[Start Date],"&lt;="&amp;day_cash_behind[[#This Row],[Date]]-$G$2, schedule[Finish Date],"&gt;="&amp;day_cash_behind[[#This Row],[Date]]-$G$2)</f>
        <v>499.24801750068366</v>
      </c>
      <c r="H75" s="3">
        <f>SUM(day_cash_behind[[#This Row],[Labor Cost]:[Other Cost]])</f>
        <v>6310.1967555055298</v>
      </c>
      <c r="I75" s="3">
        <f>SUMIFS(schedule[Revenue per Day], schedule[Start Date],"&lt;="&amp;day_cash_behind[[#This Row],[Date]]-$I$2, schedule[Finish Date],"&gt;="&amp;day_cash_behind[[#This Row],[Date]]-$I$2)</f>
        <v>0</v>
      </c>
      <c r="J75" s="3">
        <f>SUM(day_cash_behind[[#Headers],[Labor Cost]]:day_cash_behind[[#This Row],[Labor Cost]])</f>
        <v>176709.08293111</v>
      </c>
      <c r="K75" s="3">
        <f>SUM(day_cash_behind[[#Headers],[Material Cost]]:day_cash_behind[[#This Row],[Material Cost]])</f>
        <v>9782.6086956521758</v>
      </c>
      <c r="L75" s="3">
        <f>SUM(day_cash_behind[[#Headers],[Equipment Cost]]:day_cash_behind[[#This Row],[Equipment Cost]])</f>
        <v>17924.528301886796</v>
      </c>
      <c r="M75" s="3">
        <f>SUM(day_cash_behind[[#Headers],[Sub Cost]]:day_cash_behind[[#This Row],[Sub Cost]])</f>
        <v>0</v>
      </c>
      <c r="N75" s="3">
        <f>SUM(day_cash_behind[[#Headers],[Other Cost]]:day_cash_behind[[#This Row],[Other Cost]])</f>
        <v>17493.163795460765</v>
      </c>
      <c r="O75" s="3">
        <f>SUM(day_cash_behind[[#This Row],[Cumulative Labor]:[Cumulative Other]])</f>
        <v>221909.38372410974</v>
      </c>
      <c r="P75" s="3">
        <f>SUM(day_cash_behind[[#Headers],[Revenue]]:day_cash_behind[[#This Row],[Revenue]])</f>
        <v>0</v>
      </c>
    </row>
    <row r="76" spans="2:16" x14ac:dyDescent="0.45">
      <c r="B76" s="1">
        <v>46459</v>
      </c>
      <c r="C76" s="4">
        <f>SUMIFS(schedule[Labor CPP], schedule[Start Date],"&lt;="&amp;day_cash_behind[[#This Row],[Date]], schedule[Finish Date],"&gt;="&amp;day_cash_behind[[#This Row],[Date]])</f>
        <v>5013.1636682755598</v>
      </c>
      <c r="D76" s="4">
        <f>SUMIFS(schedule[Material CPP], schedule[Start Date],"&lt;="&amp;day_cash_behind[[#This Row],[Date]]-$D$2, schedule[Finish Date],"&gt;="&amp;day_cash_behind[[#This Row],[Date]]-$D$2)</f>
        <v>326.08695652173913</v>
      </c>
      <c r="E76" s="4">
        <f>SUMIFS(schedule[Equipment CPP], schedule[Start Date],"&lt;="&amp;day_cash_behind[[#This Row],[Date]]-$E$2, schedule[Finish Date],"&gt;="&amp;day_cash_behind[[#This Row],[Date]]-$E$2)</f>
        <v>471.69811320754718</v>
      </c>
      <c r="F76" s="4">
        <f>SUMIFS(schedule[Sub CPP], schedule[Start Date],"&lt;="&amp;day_cash_behind[[#This Row],[Date]]-$F$2, schedule[Finish Date],"&gt;="&amp;day_cash_behind[[#This Row],[Date]]-$F$2)</f>
        <v>0</v>
      </c>
      <c r="G76" s="3">
        <f>SUMIFS(schedule[Other CPP], schedule[Start Date],"&lt;="&amp;day_cash_behind[[#This Row],[Date]]-$G$2, schedule[Finish Date],"&gt;="&amp;day_cash_behind[[#This Row],[Date]]-$G$2)</f>
        <v>499.24801750068366</v>
      </c>
      <c r="H76" s="3">
        <f>SUM(day_cash_behind[[#This Row],[Labor Cost]:[Other Cost]])</f>
        <v>6310.1967555055298</v>
      </c>
      <c r="I76" s="3">
        <f>SUMIFS(schedule[Revenue per Day], schedule[Start Date],"&lt;="&amp;day_cash_behind[[#This Row],[Date]]-$I$2, schedule[Finish Date],"&gt;="&amp;day_cash_behind[[#This Row],[Date]]-$I$2)</f>
        <v>0</v>
      </c>
      <c r="J76" s="3">
        <f>SUM(day_cash_behind[[#Headers],[Labor Cost]]:day_cash_behind[[#This Row],[Labor Cost]])</f>
        <v>181722.24659938554</v>
      </c>
      <c r="K76" s="3">
        <f>SUM(day_cash_behind[[#Headers],[Material Cost]]:day_cash_behind[[#This Row],[Material Cost]])</f>
        <v>10108.695652173916</v>
      </c>
      <c r="L76" s="3">
        <f>SUM(day_cash_behind[[#Headers],[Equipment Cost]]:day_cash_behind[[#This Row],[Equipment Cost]])</f>
        <v>18396.226415094345</v>
      </c>
      <c r="M76" s="3">
        <f>SUM(day_cash_behind[[#Headers],[Sub Cost]]:day_cash_behind[[#This Row],[Sub Cost]])</f>
        <v>0</v>
      </c>
      <c r="N76" s="3">
        <f>SUM(day_cash_behind[[#Headers],[Other Cost]]:day_cash_behind[[#This Row],[Other Cost]])</f>
        <v>17992.411812961447</v>
      </c>
      <c r="O76" s="3">
        <f>SUM(day_cash_behind[[#This Row],[Cumulative Labor]:[Cumulative Other]])</f>
        <v>228219.58047961525</v>
      </c>
      <c r="P76" s="3">
        <f>SUM(day_cash_behind[[#Headers],[Revenue]]:day_cash_behind[[#This Row],[Revenue]])</f>
        <v>0</v>
      </c>
    </row>
    <row r="77" spans="2:16" x14ac:dyDescent="0.45">
      <c r="B77" s="1">
        <v>46460</v>
      </c>
      <c r="C77" s="4">
        <f>SUMIFS(schedule[Labor CPP], schedule[Start Date],"&lt;="&amp;day_cash_behind[[#This Row],[Date]], schedule[Finish Date],"&gt;="&amp;day_cash_behind[[#This Row],[Date]])</f>
        <v>5013.1636682755598</v>
      </c>
      <c r="D77" s="4">
        <f>SUMIFS(schedule[Material CPP], schedule[Start Date],"&lt;="&amp;day_cash_behind[[#This Row],[Date]]-$D$2, schedule[Finish Date],"&gt;="&amp;day_cash_behind[[#This Row],[Date]]-$D$2)</f>
        <v>326.08695652173913</v>
      </c>
      <c r="E77" s="4">
        <f>SUMIFS(schedule[Equipment CPP], schedule[Start Date],"&lt;="&amp;day_cash_behind[[#This Row],[Date]]-$E$2, schedule[Finish Date],"&gt;="&amp;day_cash_behind[[#This Row],[Date]]-$E$2)</f>
        <v>471.69811320754718</v>
      </c>
      <c r="F77" s="4">
        <f>SUMIFS(schedule[Sub CPP], schedule[Start Date],"&lt;="&amp;day_cash_behind[[#This Row],[Date]]-$F$2, schedule[Finish Date],"&gt;="&amp;day_cash_behind[[#This Row],[Date]]-$F$2)</f>
        <v>0</v>
      </c>
      <c r="G77" s="3">
        <f>SUMIFS(schedule[Other CPP], schedule[Start Date],"&lt;="&amp;day_cash_behind[[#This Row],[Date]]-$G$2, schedule[Finish Date],"&gt;="&amp;day_cash_behind[[#This Row],[Date]]-$G$2)</f>
        <v>499.24801750068366</v>
      </c>
      <c r="H77" s="3">
        <f>SUM(day_cash_behind[[#This Row],[Labor Cost]:[Other Cost]])</f>
        <v>6310.1967555055298</v>
      </c>
      <c r="I77" s="3">
        <f>SUMIFS(schedule[Revenue per Day], schedule[Start Date],"&lt;="&amp;day_cash_behind[[#This Row],[Date]]-$I$2, schedule[Finish Date],"&gt;="&amp;day_cash_behind[[#This Row],[Date]]-$I$2)</f>
        <v>0</v>
      </c>
      <c r="J77" s="3">
        <f>SUM(day_cash_behind[[#Headers],[Labor Cost]]:day_cash_behind[[#This Row],[Labor Cost]])</f>
        <v>186735.41026766109</v>
      </c>
      <c r="K77" s="3">
        <f>SUM(day_cash_behind[[#Headers],[Material Cost]]:day_cash_behind[[#This Row],[Material Cost]])</f>
        <v>10434.782608695656</v>
      </c>
      <c r="L77" s="3">
        <f>SUM(day_cash_behind[[#Headers],[Equipment Cost]]:day_cash_behind[[#This Row],[Equipment Cost]])</f>
        <v>18867.924528301894</v>
      </c>
      <c r="M77" s="3">
        <f>SUM(day_cash_behind[[#Headers],[Sub Cost]]:day_cash_behind[[#This Row],[Sub Cost]])</f>
        <v>0</v>
      </c>
      <c r="N77" s="3">
        <f>SUM(day_cash_behind[[#Headers],[Other Cost]]:day_cash_behind[[#This Row],[Other Cost]])</f>
        <v>18491.659830462129</v>
      </c>
      <c r="O77" s="3">
        <f>SUM(day_cash_behind[[#This Row],[Cumulative Labor]:[Cumulative Other]])</f>
        <v>234529.77723512077</v>
      </c>
      <c r="P77" s="3">
        <f>SUM(day_cash_behind[[#Headers],[Revenue]]:day_cash_behind[[#This Row],[Revenue]])</f>
        <v>0</v>
      </c>
    </row>
    <row r="78" spans="2:16" x14ac:dyDescent="0.45">
      <c r="B78" s="1">
        <v>46461</v>
      </c>
      <c r="C78" s="4">
        <f>SUMIFS(schedule[Labor CPP], schedule[Start Date],"&lt;="&amp;day_cash_behind[[#This Row],[Date]], schedule[Finish Date],"&gt;="&amp;day_cash_behind[[#This Row],[Date]])</f>
        <v>5013.1636682755598</v>
      </c>
      <c r="D78" s="4">
        <f>SUMIFS(schedule[Material CPP], schedule[Start Date],"&lt;="&amp;day_cash_behind[[#This Row],[Date]]-$D$2, schedule[Finish Date],"&gt;="&amp;day_cash_behind[[#This Row],[Date]]-$D$2)</f>
        <v>326.08695652173913</v>
      </c>
      <c r="E78" s="4">
        <f>SUMIFS(schedule[Equipment CPP], schedule[Start Date],"&lt;="&amp;day_cash_behind[[#This Row],[Date]]-$E$2, schedule[Finish Date],"&gt;="&amp;day_cash_behind[[#This Row],[Date]]-$E$2)</f>
        <v>471.69811320754718</v>
      </c>
      <c r="F78" s="4">
        <f>SUMIFS(schedule[Sub CPP], schedule[Start Date],"&lt;="&amp;day_cash_behind[[#This Row],[Date]]-$F$2, schedule[Finish Date],"&gt;="&amp;day_cash_behind[[#This Row],[Date]]-$F$2)</f>
        <v>0</v>
      </c>
      <c r="G78" s="3">
        <f>SUMIFS(schedule[Other CPP], schedule[Start Date],"&lt;="&amp;day_cash_behind[[#This Row],[Date]]-$G$2, schedule[Finish Date],"&gt;="&amp;day_cash_behind[[#This Row],[Date]]-$G$2)</f>
        <v>499.24801750068366</v>
      </c>
      <c r="H78" s="3">
        <f>SUM(day_cash_behind[[#This Row],[Labor Cost]:[Other Cost]])</f>
        <v>6310.1967555055298</v>
      </c>
      <c r="I78" s="3">
        <f>SUMIFS(schedule[Revenue per Day], schedule[Start Date],"&lt;="&amp;day_cash_behind[[#This Row],[Date]]-$I$2, schedule[Finish Date],"&gt;="&amp;day_cash_behind[[#This Row],[Date]]-$I$2)</f>
        <v>0</v>
      </c>
      <c r="J78" s="3">
        <f>SUM(day_cash_behind[[#Headers],[Labor Cost]]:day_cash_behind[[#This Row],[Labor Cost]])</f>
        <v>191748.57393593664</v>
      </c>
      <c r="K78" s="3">
        <f>SUM(day_cash_behind[[#Headers],[Material Cost]]:day_cash_behind[[#This Row],[Material Cost]])</f>
        <v>10760.869565217396</v>
      </c>
      <c r="L78" s="3">
        <f>SUM(day_cash_behind[[#Headers],[Equipment Cost]]:day_cash_behind[[#This Row],[Equipment Cost]])</f>
        <v>19339.622641509442</v>
      </c>
      <c r="M78" s="3">
        <f>SUM(day_cash_behind[[#Headers],[Sub Cost]]:day_cash_behind[[#This Row],[Sub Cost]])</f>
        <v>0</v>
      </c>
      <c r="N78" s="3">
        <f>SUM(day_cash_behind[[#Headers],[Other Cost]]:day_cash_behind[[#This Row],[Other Cost]])</f>
        <v>18990.907847962812</v>
      </c>
      <c r="O78" s="3">
        <f>SUM(day_cash_behind[[#This Row],[Cumulative Labor]:[Cumulative Other]])</f>
        <v>240839.97399062628</v>
      </c>
      <c r="P78" s="3">
        <f>SUM(day_cash_behind[[#Headers],[Revenue]]:day_cash_behind[[#This Row],[Revenue]])</f>
        <v>0</v>
      </c>
    </row>
    <row r="79" spans="2:16" x14ac:dyDescent="0.45">
      <c r="B79" s="1">
        <v>46462</v>
      </c>
      <c r="C79" s="4">
        <f>SUMIFS(schedule[Labor CPP], schedule[Start Date],"&lt;="&amp;day_cash_behind[[#This Row],[Date]], schedule[Finish Date],"&gt;="&amp;day_cash_behind[[#This Row],[Date]])</f>
        <v>5013.1636682755598</v>
      </c>
      <c r="D79" s="4">
        <f>SUMIFS(schedule[Material CPP], schedule[Start Date],"&lt;="&amp;day_cash_behind[[#This Row],[Date]]-$D$2, schedule[Finish Date],"&gt;="&amp;day_cash_behind[[#This Row],[Date]]-$D$2)</f>
        <v>326.08695652173913</v>
      </c>
      <c r="E79" s="4">
        <f>SUMIFS(schedule[Equipment CPP], schedule[Start Date],"&lt;="&amp;day_cash_behind[[#This Row],[Date]]-$E$2, schedule[Finish Date],"&gt;="&amp;day_cash_behind[[#This Row],[Date]]-$E$2)</f>
        <v>471.69811320754718</v>
      </c>
      <c r="F79" s="4">
        <f>SUMIFS(schedule[Sub CPP], schedule[Start Date],"&lt;="&amp;day_cash_behind[[#This Row],[Date]]-$F$2, schedule[Finish Date],"&gt;="&amp;day_cash_behind[[#This Row],[Date]]-$F$2)</f>
        <v>0</v>
      </c>
      <c r="G79" s="3">
        <f>SUMIFS(schedule[Other CPP], schedule[Start Date],"&lt;="&amp;day_cash_behind[[#This Row],[Date]]-$G$2, schedule[Finish Date],"&gt;="&amp;day_cash_behind[[#This Row],[Date]]-$G$2)</f>
        <v>499.24801750068366</v>
      </c>
      <c r="H79" s="3">
        <f>SUM(day_cash_behind[[#This Row],[Labor Cost]:[Other Cost]])</f>
        <v>6310.1967555055298</v>
      </c>
      <c r="I79" s="3">
        <f>SUMIFS(schedule[Revenue per Day], schedule[Start Date],"&lt;="&amp;day_cash_behind[[#This Row],[Date]]-$I$2, schedule[Finish Date],"&gt;="&amp;day_cash_behind[[#This Row],[Date]]-$I$2)</f>
        <v>0</v>
      </c>
      <c r="J79" s="3">
        <f>SUM(day_cash_behind[[#Headers],[Labor Cost]]:day_cash_behind[[#This Row],[Labor Cost]])</f>
        <v>196761.73760421219</v>
      </c>
      <c r="K79" s="3">
        <f>SUM(day_cash_behind[[#Headers],[Material Cost]]:day_cash_behind[[#This Row],[Material Cost]])</f>
        <v>11086.956521739135</v>
      </c>
      <c r="L79" s="3">
        <f>SUM(day_cash_behind[[#Headers],[Equipment Cost]]:day_cash_behind[[#This Row],[Equipment Cost]])</f>
        <v>19811.320754716991</v>
      </c>
      <c r="M79" s="3">
        <f>SUM(day_cash_behind[[#Headers],[Sub Cost]]:day_cash_behind[[#This Row],[Sub Cost]])</f>
        <v>0</v>
      </c>
      <c r="N79" s="3">
        <f>SUM(day_cash_behind[[#Headers],[Other Cost]]:day_cash_behind[[#This Row],[Other Cost]])</f>
        <v>19490.155865463494</v>
      </c>
      <c r="O79" s="3">
        <f>SUM(day_cash_behind[[#This Row],[Cumulative Labor]:[Cumulative Other]])</f>
        <v>247150.1707461318</v>
      </c>
      <c r="P79" s="3">
        <f>SUM(day_cash_behind[[#Headers],[Revenue]]:day_cash_behind[[#This Row],[Revenue]])</f>
        <v>0</v>
      </c>
    </row>
    <row r="80" spans="2:16" x14ac:dyDescent="0.45">
      <c r="B80" s="1">
        <v>46463</v>
      </c>
      <c r="C80" s="4">
        <f>SUMIFS(schedule[Labor CPP], schedule[Start Date],"&lt;="&amp;day_cash_behind[[#This Row],[Date]], schedule[Finish Date],"&gt;="&amp;day_cash_behind[[#This Row],[Date]])</f>
        <v>5013.1636682755598</v>
      </c>
      <c r="D80" s="4">
        <f>SUMIFS(schedule[Material CPP], schedule[Start Date],"&lt;="&amp;day_cash_behind[[#This Row],[Date]]-$D$2, schedule[Finish Date],"&gt;="&amp;day_cash_behind[[#This Row],[Date]]-$D$2)</f>
        <v>1707.6659038901603</v>
      </c>
      <c r="E80" s="4">
        <f>SUMIFS(schedule[Equipment CPP], schedule[Start Date],"&lt;="&amp;day_cash_behind[[#This Row],[Date]]-$E$2, schedule[Finish Date],"&gt;="&amp;day_cash_behind[[#This Row],[Date]]-$E$2)</f>
        <v>761.17179741807354</v>
      </c>
      <c r="F80" s="4">
        <f>SUMIFS(schedule[Sub CPP], schedule[Start Date],"&lt;="&amp;day_cash_behind[[#This Row],[Date]]-$F$2, schedule[Finish Date],"&gt;="&amp;day_cash_behind[[#This Row],[Date]]-$F$2)</f>
        <v>0</v>
      </c>
      <c r="G80" s="3">
        <f>SUMIFS(schedule[Other CPP], schedule[Start Date],"&lt;="&amp;day_cash_behind[[#This Row],[Date]]-$G$2, schedule[Finish Date],"&gt;="&amp;day_cash_behind[[#This Row],[Date]]-$G$2)</f>
        <v>499.24801750068366</v>
      </c>
      <c r="H80" s="3">
        <f>SUM(day_cash_behind[[#This Row],[Labor Cost]:[Other Cost]])</f>
        <v>7981.2493870844773</v>
      </c>
      <c r="I80" s="3">
        <f>SUMIFS(schedule[Revenue per Day], schedule[Start Date],"&lt;="&amp;day_cash_behind[[#This Row],[Date]]-$I$2, schedule[Finish Date],"&gt;="&amp;day_cash_behind[[#This Row],[Date]]-$I$2)</f>
        <v>0</v>
      </c>
      <c r="J80" s="3">
        <f>SUM(day_cash_behind[[#Headers],[Labor Cost]]:day_cash_behind[[#This Row],[Labor Cost]])</f>
        <v>201774.90127248774</v>
      </c>
      <c r="K80" s="3">
        <f>SUM(day_cash_behind[[#Headers],[Material Cost]]:day_cash_behind[[#This Row],[Material Cost]])</f>
        <v>12794.622425629295</v>
      </c>
      <c r="L80" s="3">
        <f>SUM(day_cash_behind[[#Headers],[Equipment Cost]]:day_cash_behind[[#This Row],[Equipment Cost]])</f>
        <v>20572.492552135063</v>
      </c>
      <c r="M80" s="3">
        <f>SUM(day_cash_behind[[#Headers],[Sub Cost]]:day_cash_behind[[#This Row],[Sub Cost]])</f>
        <v>0</v>
      </c>
      <c r="N80" s="3">
        <f>SUM(day_cash_behind[[#Headers],[Other Cost]]:day_cash_behind[[#This Row],[Other Cost]])</f>
        <v>19989.403882964176</v>
      </c>
      <c r="O80" s="3">
        <f>SUM(day_cash_behind[[#This Row],[Cumulative Labor]:[Cumulative Other]])</f>
        <v>255131.42013321625</v>
      </c>
      <c r="P80" s="3">
        <f>SUM(day_cash_behind[[#Headers],[Revenue]]:day_cash_behind[[#This Row],[Revenue]])</f>
        <v>0</v>
      </c>
    </row>
    <row r="81" spans="2:16" x14ac:dyDescent="0.45">
      <c r="B81" s="1">
        <v>46464</v>
      </c>
      <c r="C81" s="4">
        <f>SUMIFS(schedule[Labor CPP], schedule[Start Date],"&lt;="&amp;day_cash_behind[[#This Row],[Date]], schedule[Finish Date],"&gt;="&amp;day_cash_behind[[#This Row],[Date]])</f>
        <v>5013.1636682755598</v>
      </c>
      <c r="D81" s="4">
        <f>SUMIFS(schedule[Material CPP], schedule[Start Date],"&lt;="&amp;day_cash_behind[[#This Row],[Date]]-$D$2, schedule[Finish Date],"&gt;="&amp;day_cash_behind[[#This Row],[Date]]-$D$2)</f>
        <v>1707.6659038901603</v>
      </c>
      <c r="E81" s="4">
        <f>SUMIFS(schedule[Equipment CPP], schedule[Start Date],"&lt;="&amp;day_cash_behind[[#This Row],[Date]]-$E$2, schedule[Finish Date],"&gt;="&amp;day_cash_behind[[#This Row],[Date]]-$E$2)</f>
        <v>761.17179741807354</v>
      </c>
      <c r="F81" s="4">
        <f>SUMIFS(schedule[Sub CPP], schedule[Start Date],"&lt;="&amp;day_cash_behind[[#This Row],[Date]]-$F$2, schedule[Finish Date],"&gt;="&amp;day_cash_behind[[#This Row],[Date]]-$F$2)</f>
        <v>0</v>
      </c>
      <c r="G81" s="3">
        <f>SUMIFS(schedule[Other CPP], schedule[Start Date],"&lt;="&amp;day_cash_behind[[#This Row],[Date]]-$G$2, schedule[Finish Date],"&gt;="&amp;day_cash_behind[[#This Row],[Date]]-$G$2)</f>
        <v>499.24801750068366</v>
      </c>
      <c r="H81" s="3">
        <f>SUM(day_cash_behind[[#This Row],[Labor Cost]:[Other Cost]])</f>
        <v>7981.2493870844773</v>
      </c>
      <c r="I81" s="3">
        <f>SUMIFS(schedule[Revenue per Day], schedule[Start Date],"&lt;="&amp;day_cash_behind[[#This Row],[Date]]-$I$2, schedule[Finish Date],"&gt;="&amp;day_cash_behind[[#This Row],[Date]]-$I$2)</f>
        <v>0</v>
      </c>
      <c r="J81" s="3">
        <f>SUM(day_cash_behind[[#Headers],[Labor Cost]]:day_cash_behind[[#This Row],[Labor Cost]])</f>
        <v>206788.06494076329</v>
      </c>
      <c r="K81" s="3">
        <f>SUM(day_cash_behind[[#Headers],[Material Cost]]:day_cash_behind[[#This Row],[Material Cost]])</f>
        <v>14502.288329519455</v>
      </c>
      <c r="L81" s="3">
        <f>SUM(day_cash_behind[[#Headers],[Equipment Cost]]:day_cash_behind[[#This Row],[Equipment Cost]])</f>
        <v>21333.664349553135</v>
      </c>
      <c r="M81" s="3">
        <f>SUM(day_cash_behind[[#Headers],[Sub Cost]]:day_cash_behind[[#This Row],[Sub Cost]])</f>
        <v>0</v>
      </c>
      <c r="N81" s="3">
        <f>SUM(day_cash_behind[[#Headers],[Other Cost]]:day_cash_behind[[#This Row],[Other Cost]])</f>
        <v>20488.651900464858</v>
      </c>
      <c r="O81" s="3">
        <f>SUM(day_cash_behind[[#This Row],[Cumulative Labor]:[Cumulative Other]])</f>
        <v>263112.66952030075</v>
      </c>
      <c r="P81" s="3">
        <f>SUM(day_cash_behind[[#Headers],[Revenue]]:day_cash_behind[[#This Row],[Revenue]])</f>
        <v>0</v>
      </c>
    </row>
    <row r="82" spans="2:16" x14ac:dyDescent="0.45">
      <c r="B82" s="1">
        <v>46465</v>
      </c>
      <c r="C82" s="4">
        <f>SUMIFS(schedule[Labor CPP], schedule[Start Date],"&lt;="&amp;day_cash_behind[[#This Row],[Date]], schedule[Finish Date],"&gt;="&amp;day_cash_behind[[#This Row],[Date]])</f>
        <v>8679.8303349422258</v>
      </c>
      <c r="D82" s="4">
        <f>SUMIFS(schedule[Material CPP], schedule[Start Date],"&lt;="&amp;day_cash_behind[[#This Row],[Date]]-$D$2, schedule[Finish Date],"&gt;="&amp;day_cash_behind[[#This Row],[Date]]-$D$2)</f>
        <v>1707.6659038901603</v>
      </c>
      <c r="E82" s="4">
        <f>SUMIFS(schedule[Equipment CPP], schedule[Start Date],"&lt;="&amp;day_cash_behind[[#This Row],[Date]]-$E$2, schedule[Finish Date],"&gt;="&amp;day_cash_behind[[#This Row],[Date]]-$E$2)</f>
        <v>761.17179741807354</v>
      </c>
      <c r="F82" s="4">
        <f>SUMIFS(schedule[Sub CPP], schedule[Start Date],"&lt;="&amp;day_cash_behind[[#This Row],[Date]]-$F$2, schedule[Finish Date],"&gt;="&amp;day_cash_behind[[#This Row],[Date]]-$F$2)</f>
        <v>0</v>
      </c>
      <c r="G82" s="3">
        <f>SUMIFS(schedule[Other CPP], schedule[Start Date],"&lt;="&amp;day_cash_behind[[#This Row],[Date]]-$G$2, schedule[Finish Date],"&gt;="&amp;day_cash_behind[[#This Row],[Date]]-$G$2)</f>
        <v>499.24801750068366</v>
      </c>
      <c r="H82" s="3">
        <f>SUM(day_cash_behind[[#This Row],[Labor Cost]:[Other Cost]])</f>
        <v>11647.916053751143</v>
      </c>
      <c r="I82" s="3">
        <f>SUMIFS(schedule[Revenue per Day], schedule[Start Date],"&lt;="&amp;day_cash_behind[[#This Row],[Date]]-$I$2, schedule[Finish Date],"&gt;="&amp;day_cash_behind[[#This Row],[Date]]-$I$2)</f>
        <v>0</v>
      </c>
      <c r="J82" s="3">
        <f>SUM(day_cash_behind[[#Headers],[Labor Cost]]:day_cash_behind[[#This Row],[Labor Cost]])</f>
        <v>215467.89527570552</v>
      </c>
      <c r="K82" s="3">
        <f>SUM(day_cash_behind[[#Headers],[Material Cost]]:day_cash_behind[[#This Row],[Material Cost]])</f>
        <v>16209.954233409615</v>
      </c>
      <c r="L82" s="3">
        <f>SUM(day_cash_behind[[#Headers],[Equipment Cost]]:day_cash_behind[[#This Row],[Equipment Cost]])</f>
        <v>22094.836146971207</v>
      </c>
      <c r="M82" s="3">
        <f>SUM(day_cash_behind[[#Headers],[Sub Cost]]:day_cash_behind[[#This Row],[Sub Cost]])</f>
        <v>0</v>
      </c>
      <c r="N82" s="3">
        <f>SUM(day_cash_behind[[#Headers],[Other Cost]]:day_cash_behind[[#This Row],[Other Cost]])</f>
        <v>20987.89991796554</v>
      </c>
      <c r="O82" s="3">
        <f>SUM(day_cash_behind[[#This Row],[Cumulative Labor]:[Cumulative Other]])</f>
        <v>274760.58557405189</v>
      </c>
      <c r="P82" s="3">
        <f>SUM(day_cash_behind[[#Headers],[Revenue]]:day_cash_behind[[#This Row],[Revenue]])</f>
        <v>0</v>
      </c>
    </row>
    <row r="83" spans="2:16" x14ac:dyDescent="0.45">
      <c r="B83" s="1">
        <v>46466</v>
      </c>
      <c r="C83" s="4">
        <f>SUMIFS(schedule[Labor CPP], schedule[Start Date],"&lt;="&amp;day_cash_behind[[#This Row],[Date]], schedule[Finish Date],"&gt;="&amp;day_cash_behind[[#This Row],[Date]])</f>
        <v>8679.8303349422258</v>
      </c>
      <c r="D83" s="4">
        <f>SUMIFS(schedule[Material CPP], schedule[Start Date],"&lt;="&amp;day_cash_behind[[#This Row],[Date]]-$D$2, schedule[Finish Date],"&gt;="&amp;day_cash_behind[[#This Row],[Date]]-$D$2)</f>
        <v>1707.6659038901603</v>
      </c>
      <c r="E83" s="4">
        <f>SUMIFS(schedule[Equipment CPP], schedule[Start Date],"&lt;="&amp;day_cash_behind[[#This Row],[Date]]-$E$2, schedule[Finish Date],"&gt;="&amp;day_cash_behind[[#This Row],[Date]]-$E$2)</f>
        <v>761.17179741807354</v>
      </c>
      <c r="F83" s="4">
        <f>SUMIFS(schedule[Sub CPP], schedule[Start Date],"&lt;="&amp;day_cash_behind[[#This Row],[Date]]-$F$2, schedule[Finish Date],"&gt;="&amp;day_cash_behind[[#This Row],[Date]]-$F$2)</f>
        <v>0</v>
      </c>
      <c r="G83" s="3">
        <f>SUMIFS(schedule[Other CPP], schedule[Start Date],"&lt;="&amp;day_cash_behind[[#This Row],[Date]]-$G$2, schedule[Finish Date],"&gt;="&amp;day_cash_behind[[#This Row],[Date]]-$G$2)</f>
        <v>499.24801750068366</v>
      </c>
      <c r="H83" s="3">
        <f>SUM(day_cash_behind[[#This Row],[Labor Cost]:[Other Cost]])</f>
        <v>11647.916053751143</v>
      </c>
      <c r="I83" s="3">
        <f>SUMIFS(schedule[Revenue per Day], schedule[Start Date],"&lt;="&amp;day_cash_behind[[#This Row],[Date]]-$I$2, schedule[Finish Date],"&gt;="&amp;day_cash_behind[[#This Row],[Date]]-$I$2)</f>
        <v>0</v>
      </c>
      <c r="J83" s="3">
        <f>SUM(day_cash_behind[[#Headers],[Labor Cost]]:day_cash_behind[[#This Row],[Labor Cost]])</f>
        <v>224147.72561064776</v>
      </c>
      <c r="K83" s="3">
        <f>SUM(day_cash_behind[[#Headers],[Material Cost]]:day_cash_behind[[#This Row],[Material Cost]])</f>
        <v>17917.620137299775</v>
      </c>
      <c r="L83" s="3">
        <f>SUM(day_cash_behind[[#Headers],[Equipment Cost]]:day_cash_behind[[#This Row],[Equipment Cost]])</f>
        <v>22856.007944389279</v>
      </c>
      <c r="M83" s="3">
        <f>SUM(day_cash_behind[[#Headers],[Sub Cost]]:day_cash_behind[[#This Row],[Sub Cost]])</f>
        <v>0</v>
      </c>
      <c r="N83" s="3">
        <f>SUM(day_cash_behind[[#Headers],[Other Cost]]:day_cash_behind[[#This Row],[Other Cost]])</f>
        <v>21487.147935466222</v>
      </c>
      <c r="O83" s="3">
        <f>SUM(day_cash_behind[[#This Row],[Cumulative Labor]:[Cumulative Other]])</f>
        <v>286408.50162780302</v>
      </c>
      <c r="P83" s="3">
        <f>SUM(day_cash_behind[[#Headers],[Revenue]]:day_cash_behind[[#This Row],[Revenue]])</f>
        <v>0</v>
      </c>
    </row>
    <row r="84" spans="2:16" x14ac:dyDescent="0.45">
      <c r="B84" s="1">
        <v>46467</v>
      </c>
      <c r="C84" s="4">
        <f>SUMIFS(schedule[Labor CPP], schedule[Start Date],"&lt;="&amp;day_cash_behind[[#This Row],[Date]], schedule[Finish Date],"&gt;="&amp;day_cash_behind[[#This Row],[Date]])</f>
        <v>8679.8303349422258</v>
      </c>
      <c r="D84" s="4">
        <f>SUMIFS(schedule[Material CPP], schedule[Start Date],"&lt;="&amp;day_cash_behind[[#This Row],[Date]]-$D$2, schedule[Finish Date],"&gt;="&amp;day_cash_behind[[#This Row],[Date]]-$D$2)</f>
        <v>1707.6659038901603</v>
      </c>
      <c r="E84" s="4">
        <f>SUMIFS(schedule[Equipment CPP], schedule[Start Date],"&lt;="&amp;day_cash_behind[[#This Row],[Date]]-$E$2, schedule[Finish Date],"&gt;="&amp;day_cash_behind[[#This Row],[Date]]-$E$2)</f>
        <v>761.17179741807354</v>
      </c>
      <c r="F84" s="4">
        <f>SUMIFS(schedule[Sub CPP], schedule[Start Date],"&lt;="&amp;day_cash_behind[[#This Row],[Date]]-$F$2, schedule[Finish Date],"&gt;="&amp;day_cash_behind[[#This Row],[Date]]-$F$2)</f>
        <v>0</v>
      </c>
      <c r="G84" s="3">
        <f>SUMIFS(schedule[Other CPP], schedule[Start Date],"&lt;="&amp;day_cash_behind[[#This Row],[Date]]-$G$2, schedule[Finish Date],"&gt;="&amp;day_cash_behind[[#This Row],[Date]]-$G$2)</f>
        <v>499.24801750068366</v>
      </c>
      <c r="H84" s="3">
        <f>SUM(day_cash_behind[[#This Row],[Labor Cost]:[Other Cost]])</f>
        <v>11647.916053751143</v>
      </c>
      <c r="I84" s="3">
        <f>SUMIFS(schedule[Revenue per Day], schedule[Start Date],"&lt;="&amp;day_cash_behind[[#This Row],[Date]]-$I$2, schedule[Finish Date],"&gt;="&amp;day_cash_behind[[#This Row],[Date]]-$I$2)</f>
        <v>0</v>
      </c>
      <c r="J84" s="3">
        <f>SUM(day_cash_behind[[#Headers],[Labor Cost]]:day_cash_behind[[#This Row],[Labor Cost]])</f>
        <v>232827.55594558999</v>
      </c>
      <c r="K84" s="3">
        <f>SUM(day_cash_behind[[#Headers],[Material Cost]]:day_cash_behind[[#This Row],[Material Cost]])</f>
        <v>19625.286041189935</v>
      </c>
      <c r="L84" s="3">
        <f>SUM(day_cash_behind[[#Headers],[Equipment Cost]]:day_cash_behind[[#This Row],[Equipment Cost]])</f>
        <v>23617.179741807351</v>
      </c>
      <c r="M84" s="3">
        <f>SUM(day_cash_behind[[#Headers],[Sub Cost]]:day_cash_behind[[#This Row],[Sub Cost]])</f>
        <v>0</v>
      </c>
      <c r="N84" s="3">
        <f>SUM(day_cash_behind[[#Headers],[Other Cost]]:day_cash_behind[[#This Row],[Other Cost]])</f>
        <v>21986.395952966905</v>
      </c>
      <c r="O84" s="3">
        <f>SUM(day_cash_behind[[#This Row],[Cumulative Labor]:[Cumulative Other]])</f>
        <v>298056.41768155416</v>
      </c>
      <c r="P84" s="3">
        <f>SUM(day_cash_behind[[#Headers],[Revenue]]:day_cash_behind[[#This Row],[Revenue]])</f>
        <v>0</v>
      </c>
    </row>
    <row r="85" spans="2:16" x14ac:dyDescent="0.45">
      <c r="B85" s="1">
        <v>46468</v>
      </c>
      <c r="C85" s="4">
        <f>SUMIFS(schedule[Labor CPP], schedule[Start Date],"&lt;="&amp;day_cash_behind[[#This Row],[Date]], schedule[Finish Date],"&gt;="&amp;day_cash_behind[[#This Row],[Date]])</f>
        <v>8679.8303349422258</v>
      </c>
      <c r="D85" s="4">
        <f>SUMIFS(schedule[Material CPP], schedule[Start Date],"&lt;="&amp;day_cash_behind[[#This Row],[Date]]-$D$2, schedule[Finish Date],"&gt;="&amp;day_cash_behind[[#This Row],[Date]]-$D$2)</f>
        <v>1707.6659038901603</v>
      </c>
      <c r="E85" s="4">
        <f>SUMIFS(schedule[Equipment CPP], schedule[Start Date],"&lt;="&amp;day_cash_behind[[#This Row],[Date]]-$E$2, schedule[Finish Date],"&gt;="&amp;day_cash_behind[[#This Row],[Date]]-$E$2)</f>
        <v>761.17179741807354</v>
      </c>
      <c r="F85" s="4">
        <f>SUMIFS(schedule[Sub CPP], schedule[Start Date],"&lt;="&amp;day_cash_behind[[#This Row],[Date]]-$F$2, schedule[Finish Date],"&gt;="&amp;day_cash_behind[[#This Row],[Date]]-$F$2)</f>
        <v>0</v>
      </c>
      <c r="G85" s="3">
        <f>SUMIFS(schedule[Other CPP], schedule[Start Date],"&lt;="&amp;day_cash_behind[[#This Row],[Date]]-$G$2, schedule[Finish Date],"&gt;="&amp;day_cash_behind[[#This Row],[Date]]-$G$2)</f>
        <v>499.24801750068366</v>
      </c>
      <c r="H85" s="3">
        <f>SUM(day_cash_behind[[#This Row],[Labor Cost]:[Other Cost]])</f>
        <v>11647.916053751143</v>
      </c>
      <c r="I85" s="3">
        <f>SUMIFS(schedule[Revenue per Day], schedule[Start Date],"&lt;="&amp;day_cash_behind[[#This Row],[Date]]-$I$2, schedule[Finish Date],"&gt;="&amp;day_cash_behind[[#This Row],[Date]]-$I$2)</f>
        <v>0</v>
      </c>
      <c r="J85" s="3">
        <f>SUM(day_cash_behind[[#Headers],[Labor Cost]]:day_cash_behind[[#This Row],[Labor Cost]])</f>
        <v>241507.38628053223</v>
      </c>
      <c r="K85" s="3">
        <f>SUM(day_cash_behind[[#Headers],[Material Cost]]:day_cash_behind[[#This Row],[Material Cost]])</f>
        <v>21332.951945080094</v>
      </c>
      <c r="L85" s="3">
        <f>SUM(day_cash_behind[[#Headers],[Equipment Cost]]:day_cash_behind[[#This Row],[Equipment Cost]])</f>
        <v>24378.351539225423</v>
      </c>
      <c r="M85" s="3">
        <f>SUM(day_cash_behind[[#Headers],[Sub Cost]]:day_cash_behind[[#This Row],[Sub Cost]])</f>
        <v>0</v>
      </c>
      <c r="N85" s="3">
        <f>SUM(day_cash_behind[[#Headers],[Other Cost]]:day_cash_behind[[#This Row],[Other Cost]])</f>
        <v>22485.643970467587</v>
      </c>
      <c r="O85" s="3">
        <f>SUM(day_cash_behind[[#This Row],[Cumulative Labor]:[Cumulative Other]])</f>
        <v>309704.33373530535</v>
      </c>
      <c r="P85" s="3">
        <f>SUM(day_cash_behind[[#Headers],[Revenue]]:day_cash_behind[[#This Row],[Revenue]])</f>
        <v>0</v>
      </c>
    </row>
    <row r="86" spans="2:16" x14ac:dyDescent="0.45">
      <c r="B86" s="1">
        <v>46469</v>
      </c>
      <c r="C86" s="4">
        <f>SUMIFS(schedule[Labor CPP], schedule[Start Date],"&lt;="&amp;day_cash_behind[[#This Row],[Date]], schedule[Finish Date],"&gt;="&amp;day_cash_behind[[#This Row],[Date]])</f>
        <v>8679.8303349422258</v>
      </c>
      <c r="D86" s="4">
        <f>SUMIFS(schedule[Material CPP], schedule[Start Date],"&lt;="&amp;day_cash_behind[[#This Row],[Date]]-$D$2, schedule[Finish Date],"&gt;="&amp;day_cash_behind[[#This Row],[Date]]-$D$2)</f>
        <v>1707.6659038901603</v>
      </c>
      <c r="E86" s="4">
        <f>SUMIFS(schedule[Equipment CPP], schedule[Start Date],"&lt;="&amp;day_cash_behind[[#This Row],[Date]]-$E$2, schedule[Finish Date],"&gt;="&amp;day_cash_behind[[#This Row],[Date]]-$E$2)</f>
        <v>761.17179741807354</v>
      </c>
      <c r="F86" s="4">
        <f>SUMIFS(schedule[Sub CPP], schedule[Start Date],"&lt;="&amp;day_cash_behind[[#This Row],[Date]]-$F$2, schedule[Finish Date],"&gt;="&amp;day_cash_behind[[#This Row],[Date]]-$F$2)</f>
        <v>0</v>
      </c>
      <c r="G86" s="3">
        <f>SUMIFS(schedule[Other CPP], schedule[Start Date],"&lt;="&amp;day_cash_behind[[#This Row],[Date]]-$G$2, schedule[Finish Date],"&gt;="&amp;day_cash_behind[[#This Row],[Date]]-$G$2)</f>
        <v>499.24801750068366</v>
      </c>
      <c r="H86" s="3">
        <f>SUM(day_cash_behind[[#This Row],[Labor Cost]:[Other Cost]])</f>
        <v>11647.916053751143</v>
      </c>
      <c r="I86" s="3">
        <f>SUMIFS(schedule[Revenue per Day], schedule[Start Date],"&lt;="&amp;day_cash_behind[[#This Row],[Date]]-$I$2, schedule[Finish Date],"&gt;="&amp;day_cash_behind[[#This Row],[Date]]-$I$2)</f>
        <v>0</v>
      </c>
      <c r="J86" s="3">
        <f>SUM(day_cash_behind[[#Headers],[Labor Cost]]:day_cash_behind[[#This Row],[Labor Cost]])</f>
        <v>250187.21661547446</v>
      </c>
      <c r="K86" s="3">
        <f>SUM(day_cash_behind[[#Headers],[Material Cost]]:day_cash_behind[[#This Row],[Material Cost]])</f>
        <v>23040.617848970254</v>
      </c>
      <c r="L86" s="3">
        <f>SUM(day_cash_behind[[#Headers],[Equipment Cost]]:day_cash_behind[[#This Row],[Equipment Cost]])</f>
        <v>25139.523336643495</v>
      </c>
      <c r="M86" s="3">
        <f>SUM(day_cash_behind[[#Headers],[Sub Cost]]:day_cash_behind[[#This Row],[Sub Cost]])</f>
        <v>0</v>
      </c>
      <c r="N86" s="3">
        <f>SUM(day_cash_behind[[#Headers],[Other Cost]]:day_cash_behind[[#This Row],[Other Cost]])</f>
        <v>22984.891987968269</v>
      </c>
      <c r="O86" s="3">
        <f>SUM(day_cash_behind[[#This Row],[Cumulative Labor]:[Cumulative Other]])</f>
        <v>321352.24978905648</v>
      </c>
      <c r="P86" s="3">
        <f>SUM(day_cash_behind[[#Headers],[Revenue]]:day_cash_behind[[#This Row],[Revenue]])</f>
        <v>0</v>
      </c>
    </row>
    <row r="87" spans="2:16" x14ac:dyDescent="0.45">
      <c r="B87" s="1">
        <v>46470</v>
      </c>
      <c r="C87" s="4">
        <f>SUMIFS(schedule[Labor CPP], schedule[Start Date],"&lt;="&amp;day_cash_behind[[#This Row],[Date]], schedule[Finish Date],"&gt;="&amp;day_cash_behind[[#This Row],[Date]])</f>
        <v>8679.8303349422258</v>
      </c>
      <c r="D87" s="4">
        <f>SUMIFS(schedule[Material CPP], schedule[Start Date],"&lt;="&amp;day_cash_behind[[#This Row],[Date]]-$D$2, schedule[Finish Date],"&gt;="&amp;day_cash_behind[[#This Row],[Date]]-$D$2)</f>
        <v>1707.6659038901603</v>
      </c>
      <c r="E87" s="4">
        <f>SUMIFS(schedule[Equipment CPP], schedule[Start Date],"&lt;="&amp;day_cash_behind[[#This Row],[Date]]-$E$2, schedule[Finish Date],"&gt;="&amp;day_cash_behind[[#This Row],[Date]]-$E$2)</f>
        <v>761.17179741807354</v>
      </c>
      <c r="F87" s="4">
        <f>SUMIFS(schedule[Sub CPP], schedule[Start Date],"&lt;="&amp;day_cash_behind[[#This Row],[Date]]-$F$2, schedule[Finish Date],"&gt;="&amp;day_cash_behind[[#This Row],[Date]]-$F$2)</f>
        <v>0</v>
      </c>
      <c r="G87" s="3">
        <f>SUMIFS(schedule[Other CPP], schedule[Start Date],"&lt;="&amp;day_cash_behind[[#This Row],[Date]]-$G$2, schedule[Finish Date],"&gt;="&amp;day_cash_behind[[#This Row],[Date]]-$G$2)</f>
        <v>499.24801750068366</v>
      </c>
      <c r="H87" s="3">
        <f>SUM(day_cash_behind[[#This Row],[Labor Cost]:[Other Cost]])</f>
        <v>11647.916053751143</v>
      </c>
      <c r="I87" s="3">
        <f>SUMIFS(schedule[Revenue per Day], schedule[Start Date],"&lt;="&amp;day_cash_behind[[#This Row],[Date]]-$I$2, schedule[Finish Date],"&gt;="&amp;day_cash_behind[[#This Row],[Date]]-$I$2)</f>
        <v>0</v>
      </c>
      <c r="J87" s="3">
        <f>SUM(day_cash_behind[[#Headers],[Labor Cost]]:day_cash_behind[[#This Row],[Labor Cost]])</f>
        <v>258867.0469504167</v>
      </c>
      <c r="K87" s="3">
        <f>SUM(day_cash_behind[[#Headers],[Material Cost]]:day_cash_behind[[#This Row],[Material Cost]])</f>
        <v>24748.283752860414</v>
      </c>
      <c r="L87" s="3">
        <f>SUM(day_cash_behind[[#Headers],[Equipment Cost]]:day_cash_behind[[#This Row],[Equipment Cost]])</f>
        <v>25900.695134061567</v>
      </c>
      <c r="M87" s="3">
        <f>SUM(day_cash_behind[[#Headers],[Sub Cost]]:day_cash_behind[[#This Row],[Sub Cost]])</f>
        <v>0</v>
      </c>
      <c r="N87" s="3">
        <f>SUM(day_cash_behind[[#Headers],[Other Cost]]:day_cash_behind[[#This Row],[Other Cost]])</f>
        <v>23484.140005468951</v>
      </c>
      <c r="O87" s="3">
        <f>SUM(day_cash_behind[[#This Row],[Cumulative Labor]:[Cumulative Other]])</f>
        <v>333000.16584280768</v>
      </c>
      <c r="P87" s="3">
        <f>SUM(day_cash_behind[[#Headers],[Revenue]]:day_cash_behind[[#This Row],[Revenue]])</f>
        <v>0</v>
      </c>
    </row>
    <row r="88" spans="2:16" x14ac:dyDescent="0.45">
      <c r="B88" s="1">
        <v>46471</v>
      </c>
      <c r="C88" s="4">
        <f>SUMIFS(schedule[Labor CPP], schedule[Start Date],"&lt;="&amp;day_cash_behind[[#This Row],[Date]], schedule[Finish Date],"&gt;="&amp;day_cash_behind[[#This Row],[Date]])</f>
        <v>8679.8303349422258</v>
      </c>
      <c r="D88" s="4">
        <f>SUMIFS(schedule[Material CPP], schedule[Start Date],"&lt;="&amp;day_cash_behind[[#This Row],[Date]]-$D$2, schedule[Finish Date],"&gt;="&amp;day_cash_behind[[#This Row],[Date]]-$D$2)</f>
        <v>1707.6659038901603</v>
      </c>
      <c r="E88" s="4">
        <f>SUMIFS(schedule[Equipment CPP], schedule[Start Date],"&lt;="&amp;day_cash_behind[[#This Row],[Date]]-$E$2, schedule[Finish Date],"&gt;="&amp;day_cash_behind[[#This Row],[Date]]-$E$2)</f>
        <v>761.17179741807354</v>
      </c>
      <c r="F88" s="4">
        <f>SUMIFS(schedule[Sub CPP], schedule[Start Date],"&lt;="&amp;day_cash_behind[[#This Row],[Date]]-$F$2, schedule[Finish Date],"&gt;="&amp;day_cash_behind[[#This Row],[Date]]-$F$2)</f>
        <v>0</v>
      </c>
      <c r="G88" s="3">
        <f>SUMIFS(schedule[Other CPP], schedule[Start Date],"&lt;="&amp;day_cash_behind[[#This Row],[Date]]-$G$2, schedule[Finish Date],"&gt;="&amp;day_cash_behind[[#This Row],[Date]]-$G$2)</f>
        <v>499.24801750068366</v>
      </c>
      <c r="H88" s="3">
        <f>SUM(day_cash_behind[[#This Row],[Labor Cost]:[Other Cost]])</f>
        <v>11647.916053751143</v>
      </c>
      <c r="I88" s="3">
        <f>SUMIFS(schedule[Revenue per Day], schedule[Start Date],"&lt;="&amp;day_cash_behind[[#This Row],[Date]]-$I$2, schedule[Finish Date],"&gt;="&amp;day_cash_behind[[#This Row],[Date]]-$I$2)</f>
        <v>0</v>
      </c>
      <c r="J88" s="3">
        <f>SUM(day_cash_behind[[#Headers],[Labor Cost]]:day_cash_behind[[#This Row],[Labor Cost]])</f>
        <v>267546.8772853589</v>
      </c>
      <c r="K88" s="3">
        <f>SUM(day_cash_behind[[#Headers],[Material Cost]]:day_cash_behind[[#This Row],[Material Cost]])</f>
        <v>26455.949656750574</v>
      </c>
      <c r="L88" s="3">
        <f>SUM(day_cash_behind[[#Headers],[Equipment Cost]]:day_cash_behind[[#This Row],[Equipment Cost]])</f>
        <v>26661.866931479639</v>
      </c>
      <c r="M88" s="3">
        <f>SUM(day_cash_behind[[#Headers],[Sub Cost]]:day_cash_behind[[#This Row],[Sub Cost]])</f>
        <v>0</v>
      </c>
      <c r="N88" s="3">
        <f>SUM(day_cash_behind[[#Headers],[Other Cost]]:day_cash_behind[[#This Row],[Other Cost]])</f>
        <v>23983.388022969633</v>
      </c>
      <c r="O88" s="3">
        <f>SUM(day_cash_behind[[#This Row],[Cumulative Labor]:[Cumulative Other]])</f>
        <v>344648.08189655881</v>
      </c>
      <c r="P88" s="3">
        <f>SUM(day_cash_behind[[#Headers],[Revenue]]:day_cash_behind[[#This Row],[Revenue]])</f>
        <v>0</v>
      </c>
    </row>
    <row r="89" spans="2:16" x14ac:dyDescent="0.45">
      <c r="B89" s="1">
        <v>46472</v>
      </c>
      <c r="C89" s="4">
        <f>SUMIFS(schedule[Labor CPP], schedule[Start Date],"&lt;="&amp;day_cash_behind[[#This Row],[Date]], schedule[Finish Date],"&gt;="&amp;day_cash_behind[[#This Row],[Date]])</f>
        <v>8679.8303349422258</v>
      </c>
      <c r="D89" s="4">
        <f>SUMIFS(schedule[Material CPP], schedule[Start Date],"&lt;="&amp;day_cash_behind[[#This Row],[Date]]-$D$2, schedule[Finish Date],"&gt;="&amp;day_cash_behind[[#This Row],[Date]]-$D$2)</f>
        <v>1707.6659038901603</v>
      </c>
      <c r="E89" s="4">
        <f>SUMIFS(schedule[Equipment CPP], schedule[Start Date],"&lt;="&amp;day_cash_behind[[#This Row],[Date]]-$E$2, schedule[Finish Date],"&gt;="&amp;day_cash_behind[[#This Row],[Date]]-$E$2)</f>
        <v>761.17179741807354</v>
      </c>
      <c r="F89" s="4">
        <f>SUMIFS(schedule[Sub CPP], schedule[Start Date],"&lt;="&amp;day_cash_behind[[#This Row],[Date]]-$F$2, schedule[Finish Date],"&gt;="&amp;day_cash_behind[[#This Row],[Date]]-$F$2)</f>
        <v>0</v>
      </c>
      <c r="G89" s="3">
        <f>SUMIFS(schedule[Other CPP], schedule[Start Date],"&lt;="&amp;day_cash_behind[[#This Row],[Date]]-$G$2, schedule[Finish Date],"&gt;="&amp;day_cash_behind[[#This Row],[Date]]-$G$2)</f>
        <v>499.24801750068366</v>
      </c>
      <c r="H89" s="3">
        <f>SUM(day_cash_behind[[#This Row],[Labor Cost]:[Other Cost]])</f>
        <v>11647.916053751143</v>
      </c>
      <c r="I89" s="3">
        <f>SUMIFS(schedule[Revenue per Day], schedule[Start Date],"&lt;="&amp;day_cash_behind[[#This Row],[Date]]-$I$2, schedule[Finish Date],"&gt;="&amp;day_cash_behind[[#This Row],[Date]]-$I$2)</f>
        <v>0</v>
      </c>
      <c r="J89" s="3">
        <f>SUM(day_cash_behind[[#Headers],[Labor Cost]]:day_cash_behind[[#This Row],[Labor Cost]])</f>
        <v>276226.70762030111</v>
      </c>
      <c r="K89" s="3">
        <f>SUM(day_cash_behind[[#Headers],[Material Cost]]:day_cash_behind[[#This Row],[Material Cost]])</f>
        <v>28163.615560640734</v>
      </c>
      <c r="L89" s="3">
        <f>SUM(day_cash_behind[[#Headers],[Equipment Cost]]:day_cash_behind[[#This Row],[Equipment Cost]])</f>
        <v>27423.038728897711</v>
      </c>
      <c r="M89" s="3">
        <f>SUM(day_cash_behind[[#Headers],[Sub Cost]]:day_cash_behind[[#This Row],[Sub Cost]])</f>
        <v>0</v>
      </c>
      <c r="N89" s="3">
        <f>SUM(day_cash_behind[[#Headers],[Other Cost]]:day_cash_behind[[#This Row],[Other Cost]])</f>
        <v>24482.636040470315</v>
      </c>
      <c r="O89" s="3">
        <f>SUM(day_cash_behind[[#This Row],[Cumulative Labor]:[Cumulative Other]])</f>
        <v>356295.99795030989</v>
      </c>
      <c r="P89" s="3">
        <f>SUM(day_cash_behind[[#Headers],[Revenue]]:day_cash_behind[[#This Row],[Revenue]])</f>
        <v>0</v>
      </c>
    </row>
    <row r="90" spans="2:16" x14ac:dyDescent="0.45">
      <c r="B90" s="1">
        <v>46473</v>
      </c>
      <c r="C90" s="4">
        <f>SUMIFS(schedule[Labor CPP], schedule[Start Date],"&lt;="&amp;day_cash_behind[[#This Row],[Date]], schedule[Finish Date],"&gt;="&amp;day_cash_behind[[#This Row],[Date]])</f>
        <v>8679.8303349422258</v>
      </c>
      <c r="D90" s="4">
        <f>SUMIFS(schedule[Material CPP], schedule[Start Date],"&lt;="&amp;day_cash_behind[[#This Row],[Date]]-$D$2, schedule[Finish Date],"&gt;="&amp;day_cash_behind[[#This Row],[Date]]-$D$2)</f>
        <v>1707.6659038901603</v>
      </c>
      <c r="E90" s="4">
        <f>SUMIFS(schedule[Equipment CPP], schedule[Start Date],"&lt;="&amp;day_cash_behind[[#This Row],[Date]]-$E$2, schedule[Finish Date],"&gt;="&amp;day_cash_behind[[#This Row],[Date]]-$E$2)</f>
        <v>761.17179741807354</v>
      </c>
      <c r="F90" s="4">
        <f>SUMIFS(schedule[Sub CPP], schedule[Start Date],"&lt;="&amp;day_cash_behind[[#This Row],[Date]]-$F$2, schedule[Finish Date],"&gt;="&amp;day_cash_behind[[#This Row],[Date]]-$F$2)</f>
        <v>0</v>
      </c>
      <c r="G90" s="3">
        <f>SUMIFS(schedule[Other CPP], schedule[Start Date],"&lt;="&amp;day_cash_behind[[#This Row],[Date]]-$G$2, schedule[Finish Date],"&gt;="&amp;day_cash_behind[[#This Row],[Date]]-$G$2)</f>
        <v>499.24801750068366</v>
      </c>
      <c r="H90" s="3">
        <f>SUM(day_cash_behind[[#This Row],[Labor Cost]:[Other Cost]])</f>
        <v>11647.916053751143</v>
      </c>
      <c r="I90" s="3">
        <f>SUMIFS(schedule[Revenue per Day], schedule[Start Date],"&lt;="&amp;day_cash_behind[[#This Row],[Date]]-$I$2, schedule[Finish Date],"&gt;="&amp;day_cash_behind[[#This Row],[Date]]-$I$2)</f>
        <v>0</v>
      </c>
      <c r="J90" s="3">
        <f>SUM(day_cash_behind[[#Headers],[Labor Cost]]:day_cash_behind[[#This Row],[Labor Cost]])</f>
        <v>284906.53795524332</v>
      </c>
      <c r="K90" s="3">
        <f>SUM(day_cash_behind[[#Headers],[Material Cost]]:day_cash_behind[[#This Row],[Material Cost]])</f>
        <v>29871.281464530894</v>
      </c>
      <c r="L90" s="3">
        <f>SUM(day_cash_behind[[#Headers],[Equipment Cost]]:day_cash_behind[[#This Row],[Equipment Cost]])</f>
        <v>28184.210526315783</v>
      </c>
      <c r="M90" s="3">
        <f>SUM(day_cash_behind[[#Headers],[Sub Cost]]:day_cash_behind[[#This Row],[Sub Cost]])</f>
        <v>0</v>
      </c>
      <c r="N90" s="3">
        <f>SUM(day_cash_behind[[#Headers],[Other Cost]]:day_cash_behind[[#This Row],[Other Cost]])</f>
        <v>24981.884057970998</v>
      </c>
      <c r="O90" s="3">
        <f>SUM(day_cash_behind[[#This Row],[Cumulative Labor]:[Cumulative Other]])</f>
        <v>367943.91400406102</v>
      </c>
      <c r="P90" s="3">
        <f>SUM(day_cash_behind[[#Headers],[Revenue]]:day_cash_behind[[#This Row],[Revenue]])</f>
        <v>0</v>
      </c>
    </row>
    <row r="91" spans="2:16" x14ac:dyDescent="0.45">
      <c r="B91" s="1">
        <v>46474</v>
      </c>
      <c r="C91" s="4">
        <f>SUMIFS(schedule[Labor CPP], schedule[Start Date],"&lt;="&amp;day_cash_behind[[#This Row],[Date]], schedule[Finish Date],"&gt;="&amp;day_cash_behind[[#This Row],[Date]])</f>
        <v>8679.8303349422258</v>
      </c>
      <c r="D91" s="4">
        <f>SUMIFS(schedule[Material CPP], schedule[Start Date],"&lt;="&amp;day_cash_behind[[#This Row],[Date]]-$D$2, schedule[Finish Date],"&gt;="&amp;day_cash_behind[[#This Row],[Date]]-$D$2)</f>
        <v>1707.6659038901603</v>
      </c>
      <c r="E91" s="4">
        <f>SUMIFS(schedule[Equipment CPP], schedule[Start Date],"&lt;="&amp;day_cash_behind[[#This Row],[Date]]-$E$2, schedule[Finish Date],"&gt;="&amp;day_cash_behind[[#This Row],[Date]]-$E$2)</f>
        <v>761.17179741807354</v>
      </c>
      <c r="F91" s="4">
        <f>SUMIFS(schedule[Sub CPP], schedule[Start Date],"&lt;="&amp;day_cash_behind[[#This Row],[Date]]-$F$2, schedule[Finish Date],"&gt;="&amp;day_cash_behind[[#This Row],[Date]]-$F$2)</f>
        <v>0</v>
      </c>
      <c r="G91" s="3">
        <f>SUMIFS(schedule[Other CPP], schedule[Start Date],"&lt;="&amp;day_cash_behind[[#This Row],[Date]]-$G$2, schedule[Finish Date],"&gt;="&amp;day_cash_behind[[#This Row],[Date]]-$G$2)</f>
        <v>499.24801750068366</v>
      </c>
      <c r="H91" s="3">
        <f>SUM(day_cash_behind[[#This Row],[Labor Cost]:[Other Cost]])</f>
        <v>11647.916053751143</v>
      </c>
      <c r="I91" s="3">
        <f>SUMIFS(schedule[Revenue per Day], schedule[Start Date],"&lt;="&amp;day_cash_behind[[#This Row],[Date]]-$I$2, schedule[Finish Date],"&gt;="&amp;day_cash_behind[[#This Row],[Date]]-$I$2)</f>
        <v>0</v>
      </c>
      <c r="J91" s="3">
        <f>SUM(day_cash_behind[[#Headers],[Labor Cost]]:day_cash_behind[[#This Row],[Labor Cost]])</f>
        <v>293586.36829018552</v>
      </c>
      <c r="K91" s="3">
        <f>SUM(day_cash_behind[[#Headers],[Material Cost]]:day_cash_behind[[#This Row],[Material Cost]])</f>
        <v>31578.947368421053</v>
      </c>
      <c r="L91" s="3">
        <f>SUM(day_cash_behind[[#Headers],[Equipment Cost]]:day_cash_behind[[#This Row],[Equipment Cost]])</f>
        <v>28945.382323733855</v>
      </c>
      <c r="M91" s="3">
        <f>SUM(day_cash_behind[[#Headers],[Sub Cost]]:day_cash_behind[[#This Row],[Sub Cost]])</f>
        <v>0</v>
      </c>
      <c r="N91" s="3">
        <f>SUM(day_cash_behind[[#Headers],[Other Cost]]:day_cash_behind[[#This Row],[Other Cost]])</f>
        <v>25481.13207547168</v>
      </c>
      <c r="O91" s="3">
        <f>SUM(day_cash_behind[[#This Row],[Cumulative Labor]:[Cumulative Other]])</f>
        <v>379591.83005781216</v>
      </c>
      <c r="P91" s="3">
        <f>SUM(day_cash_behind[[#Headers],[Revenue]]:day_cash_behind[[#This Row],[Revenue]])</f>
        <v>0</v>
      </c>
    </row>
    <row r="92" spans="2:16" x14ac:dyDescent="0.45">
      <c r="B92" s="1">
        <v>46475</v>
      </c>
      <c r="C92" s="4">
        <f>SUMIFS(schedule[Labor CPP], schedule[Start Date],"&lt;="&amp;day_cash_behind[[#This Row],[Date]], schedule[Finish Date],"&gt;="&amp;day_cash_behind[[#This Row],[Date]])</f>
        <v>8679.8303349422258</v>
      </c>
      <c r="D92" s="4">
        <f>SUMIFS(schedule[Material CPP], schedule[Start Date],"&lt;="&amp;day_cash_behind[[#This Row],[Date]]-$D$2, schedule[Finish Date],"&gt;="&amp;day_cash_behind[[#This Row],[Date]]-$D$2)</f>
        <v>1381.578947368421</v>
      </c>
      <c r="E92" s="4">
        <f>SUMIFS(schedule[Equipment CPP], schedule[Start Date],"&lt;="&amp;day_cash_behind[[#This Row],[Date]]-$E$2, schedule[Finish Date],"&gt;="&amp;day_cash_behind[[#This Row],[Date]]-$E$2)</f>
        <v>761.17179741807354</v>
      </c>
      <c r="F92" s="4">
        <f>SUMIFS(schedule[Sub CPP], schedule[Start Date],"&lt;="&amp;day_cash_behind[[#This Row],[Date]]-$F$2, schedule[Finish Date],"&gt;="&amp;day_cash_behind[[#This Row],[Date]]-$F$2)</f>
        <v>0</v>
      </c>
      <c r="G92" s="3">
        <f>SUMIFS(schedule[Other CPP], schedule[Start Date],"&lt;="&amp;day_cash_behind[[#This Row],[Date]]-$G$2, schedule[Finish Date],"&gt;="&amp;day_cash_behind[[#This Row],[Date]]-$G$2)</f>
        <v>314.46540880503147</v>
      </c>
      <c r="H92" s="3">
        <f>SUM(day_cash_behind[[#This Row],[Labor Cost]:[Other Cost]])</f>
        <v>11137.046488533753</v>
      </c>
      <c r="I92" s="3">
        <f>SUMIFS(schedule[Revenue per Day], schedule[Start Date],"&lt;="&amp;day_cash_behind[[#This Row],[Date]]-$I$2, schedule[Finish Date],"&gt;="&amp;day_cash_behind[[#This Row],[Date]]-$I$2)</f>
        <v>0</v>
      </c>
      <c r="J92" s="3">
        <f>SUM(day_cash_behind[[#Headers],[Labor Cost]]:day_cash_behind[[#This Row],[Labor Cost]])</f>
        <v>302266.19862512773</v>
      </c>
      <c r="K92" s="3">
        <f>SUM(day_cash_behind[[#Headers],[Material Cost]]:day_cash_behind[[#This Row],[Material Cost]])</f>
        <v>32960.526315789473</v>
      </c>
      <c r="L92" s="3">
        <f>SUM(day_cash_behind[[#Headers],[Equipment Cost]]:day_cash_behind[[#This Row],[Equipment Cost]])</f>
        <v>29706.554121151927</v>
      </c>
      <c r="M92" s="3">
        <f>SUM(day_cash_behind[[#Headers],[Sub Cost]]:day_cash_behind[[#This Row],[Sub Cost]])</f>
        <v>0</v>
      </c>
      <c r="N92" s="3">
        <f>SUM(day_cash_behind[[#Headers],[Other Cost]]:day_cash_behind[[#This Row],[Other Cost]])</f>
        <v>25795.59748427671</v>
      </c>
      <c r="O92" s="3">
        <f>SUM(day_cash_behind[[#This Row],[Cumulative Labor]:[Cumulative Other]])</f>
        <v>390728.87654634583</v>
      </c>
      <c r="P92" s="3">
        <f>SUM(day_cash_behind[[#Headers],[Revenue]]:day_cash_behind[[#This Row],[Revenue]])</f>
        <v>0</v>
      </c>
    </row>
    <row r="93" spans="2:16" x14ac:dyDescent="0.45">
      <c r="B93" s="1">
        <v>46476</v>
      </c>
      <c r="C93" s="4">
        <f>SUMIFS(schedule[Labor CPP], schedule[Start Date],"&lt;="&amp;day_cash_behind[[#This Row],[Date]], schedule[Finish Date],"&gt;="&amp;day_cash_behind[[#This Row],[Date]])</f>
        <v>8679.8303349422258</v>
      </c>
      <c r="D93" s="4">
        <f>SUMIFS(schedule[Material CPP], schedule[Start Date],"&lt;="&amp;day_cash_behind[[#This Row],[Date]]-$D$2, schedule[Finish Date],"&gt;="&amp;day_cash_behind[[#This Row],[Date]]-$D$2)</f>
        <v>1381.578947368421</v>
      </c>
      <c r="E93" s="4">
        <f>SUMIFS(schedule[Equipment CPP], schedule[Start Date],"&lt;="&amp;day_cash_behind[[#This Row],[Date]]-$E$2, schedule[Finish Date],"&gt;="&amp;day_cash_behind[[#This Row],[Date]]-$E$2)</f>
        <v>761.17179741807354</v>
      </c>
      <c r="F93" s="4">
        <f>SUMIFS(schedule[Sub CPP], schedule[Start Date],"&lt;="&amp;day_cash_behind[[#This Row],[Date]]-$F$2, schedule[Finish Date],"&gt;="&amp;day_cash_behind[[#This Row],[Date]]-$F$2)</f>
        <v>0</v>
      </c>
      <c r="G93" s="3">
        <f>SUMIFS(schedule[Other CPP], schedule[Start Date],"&lt;="&amp;day_cash_behind[[#This Row],[Date]]-$G$2, schedule[Finish Date],"&gt;="&amp;day_cash_behind[[#This Row],[Date]]-$G$2)</f>
        <v>314.46540880503147</v>
      </c>
      <c r="H93" s="3">
        <f>SUM(day_cash_behind[[#This Row],[Labor Cost]:[Other Cost]])</f>
        <v>11137.046488533753</v>
      </c>
      <c r="I93" s="3">
        <f>SUMIFS(schedule[Revenue per Day], schedule[Start Date],"&lt;="&amp;day_cash_behind[[#This Row],[Date]]-$I$2, schedule[Finish Date],"&gt;="&amp;day_cash_behind[[#This Row],[Date]]-$I$2)</f>
        <v>0</v>
      </c>
      <c r="J93" s="3">
        <f>SUM(day_cash_behind[[#Headers],[Labor Cost]]:day_cash_behind[[#This Row],[Labor Cost]])</f>
        <v>310946.02896006993</v>
      </c>
      <c r="K93" s="3">
        <f>SUM(day_cash_behind[[#Headers],[Material Cost]]:day_cash_behind[[#This Row],[Material Cost]])</f>
        <v>34342.105263157893</v>
      </c>
      <c r="L93" s="3">
        <f>SUM(day_cash_behind[[#Headers],[Equipment Cost]]:day_cash_behind[[#This Row],[Equipment Cost]])</f>
        <v>30467.725918569999</v>
      </c>
      <c r="M93" s="3">
        <f>SUM(day_cash_behind[[#Headers],[Sub Cost]]:day_cash_behind[[#This Row],[Sub Cost]])</f>
        <v>0</v>
      </c>
      <c r="N93" s="3">
        <f>SUM(day_cash_behind[[#Headers],[Other Cost]]:day_cash_behind[[#This Row],[Other Cost]])</f>
        <v>26110.06289308174</v>
      </c>
      <c r="O93" s="3">
        <f>SUM(day_cash_behind[[#This Row],[Cumulative Labor]:[Cumulative Other]])</f>
        <v>401865.92303487961</v>
      </c>
      <c r="P93" s="3">
        <f>SUM(day_cash_behind[[#Headers],[Revenue]]:day_cash_behind[[#This Row],[Revenue]])</f>
        <v>0</v>
      </c>
    </row>
    <row r="94" spans="2:16" x14ac:dyDescent="0.45">
      <c r="B94" s="1">
        <v>46477</v>
      </c>
      <c r="C94" s="4">
        <f>SUMIFS(schedule[Labor CPP], schedule[Start Date],"&lt;="&amp;day_cash_behind[[#This Row],[Date]], schedule[Finish Date],"&gt;="&amp;day_cash_behind[[#This Row],[Date]])</f>
        <v>8679.8303349422258</v>
      </c>
      <c r="D94" s="4">
        <f>SUMIFS(schedule[Material CPP], schedule[Start Date],"&lt;="&amp;day_cash_behind[[#This Row],[Date]]-$D$2, schedule[Finish Date],"&gt;="&amp;day_cash_behind[[#This Row],[Date]]-$D$2)</f>
        <v>1381.578947368421</v>
      </c>
      <c r="E94" s="4">
        <f>SUMIFS(schedule[Equipment CPP], schedule[Start Date],"&lt;="&amp;day_cash_behind[[#This Row],[Date]]-$E$2, schedule[Finish Date],"&gt;="&amp;day_cash_behind[[#This Row],[Date]]-$E$2)</f>
        <v>761.17179741807354</v>
      </c>
      <c r="F94" s="4">
        <f>SUMIFS(schedule[Sub CPP], schedule[Start Date],"&lt;="&amp;day_cash_behind[[#This Row],[Date]]-$F$2, schedule[Finish Date],"&gt;="&amp;day_cash_behind[[#This Row],[Date]]-$F$2)</f>
        <v>0</v>
      </c>
      <c r="G94" s="3">
        <f>SUMIFS(schedule[Other CPP], schedule[Start Date],"&lt;="&amp;day_cash_behind[[#This Row],[Date]]-$G$2, schedule[Finish Date],"&gt;="&amp;day_cash_behind[[#This Row],[Date]]-$G$2)</f>
        <v>314.46540880503147</v>
      </c>
      <c r="H94" s="3">
        <f>SUM(day_cash_behind[[#This Row],[Labor Cost]:[Other Cost]])</f>
        <v>11137.046488533753</v>
      </c>
      <c r="I94" s="3">
        <f>SUMIFS(schedule[Revenue per Day], schedule[Start Date],"&lt;="&amp;day_cash_behind[[#This Row],[Date]]-$I$2, schedule[Finish Date],"&gt;="&amp;day_cash_behind[[#This Row],[Date]]-$I$2)</f>
        <v>0</v>
      </c>
      <c r="J94" s="3">
        <f>SUM(day_cash_behind[[#Headers],[Labor Cost]]:day_cash_behind[[#This Row],[Labor Cost]])</f>
        <v>319625.85929501214</v>
      </c>
      <c r="K94" s="3">
        <f>SUM(day_cash_behind[[#Headers],[Material Cost]]:day_cash_behind[[#This Row],[Material Cost]])</f>
        <v>35723.684210526313</v>
      </c>
      <c r="L94" s="3">
        <f>SUM(day_cash_behind[[#Headers],[Equipment Cost]]:day_cash_behind[[#This Row],[Equipment Cost]])</f>
        <v>31228.897715988071</v>
      </c>
      <c r="M94" s="3">
        <f>SUM(day_cash_behind[[#Headers],[Sub Cost]]:day_cash_behind[[#This Row],[Sub Cost]])</f>
        <v>0</v>
      </c>
      <c r="N94" s="3">
        <f>SUM(day_cash_behind[[#Headers],[Other Cost]]:day_cash_behind[[#This Row],[Other Cost]])</f>
        <v>26424.52830188677</v>
      </c>
      <c r="O94" s="3">
        <f>SUM(day_cash_behind[[#This Row],[Cumulative Labor]:[Cumulative Other]])</f>
        <v>413002.96952341322</v>
      </c>
      <c r="P94" s="3">
        <f>SUM(day_cash_behind[[#Headers],[Revenue]]:day_cash_behind[[#This Row],[Revenue]])</f>
        <v>0</v>
      </c>
    </row>
    <row r="95" spans="2:16" x14ac:dyDescent="0.45">
      <c r="B95" s="1">
        <v>46478</v>
      </c>
      <c r="C95" s="4">
        <f>SUMIFS(schedule[Labor CPP], schedule[Start Date],"&lt;="&amp;day_cash_behind[[#This Row],[Date]], schedule[Finish Date],"&gt;="&amp;day_cash_behind[[#This Row],[Date]])</f>
        <v>8679.8303349422258</v>
      </c>
      <c r="D95" s="4">
        <f>SUMIFS(schedule[Material CPP], schedule[Start Date],"&lt;="&amp;day_cash_behind[[#This Row],[Date]]-$D$2, schedule[Finish Date],"&gt;="&amp;day_cash_behind[[#This Row],[Date]]-$D$2)</f>
        <v>1381.578947368421</v>
      </c>
      <c r="E95" s="4">
        <f>SUMIFS(schedule[Equipment CPP], schedule[Start Date],"&lt;="&amp;day_cash_behind[[#This Row],[Date]]-$E$2, schedule[Finish Date],"&gt;="&amp;day_cash_behind[[#This Row],[Date]]-$E$2)</f>
        <v>761.17179741807354</v>
      </c>
      <c r="F95" s="4">
        <f>SUMIFS(schedule[Sub CPP], schedule[Start Date],"&lt;="&amp;day_cash_behind[[#This Row],[Date]]-$F$2, schedule[Finish Date],"&gt;="&amp;day_cash_behind[[#This Row],[Date]]-$F$2)</f>
        <v>0</v>
      </c>
      <c r="G95" s="3">
        <f>SUMIFS(schedule[Other CPP], schedule[Start Date],"&lt;="&amp;day_cash_behind[[#This Row],[Date]]-$G$2, schedule[Finish Date],"&gt;="&amp;day_cash_behind[[#This Row],[Date]]-$G$2)</f>
        <v>314.46540880503147</v>
      </c>
      <c r="H95" s="3">
        <f>SUM(day_cash_behind[[#This Row],[Labor Cost]:[Other Cost]])</f>
        <v>11137.046488533753</v>
      </c>
      <c r="I95" s="3">
        <f>SUMIFS(schedule[Revenue per Day], schedule[Start Date],"&lt;="&amp;day_cash_behind[[#This Row],[Date]]-$I$2, schedule[Finish Date],"&gt;="&amp;day_cash_behind[[#This Row],[Date]]-$I$2)</f>
        <v>0</v>
      </c>
      <c r="J95" s="3">
        <f>SUM(day_cash_behind[[#Headers],[Labor Cost]]:day_cash_behind[[#This Row],[Labor Cost]])</f>
        <v>328305.68962995434</v>
      </c>
      <c r="K95" s="3">
        <f>SUM(day_cash_behind[[#Headers],[Material Cost]]:day_cash_behind[[#This Row],[Material Cost]])</f>
        <v>37105.263157894733</v>
      </c>
      <c r="L95" s="3">
        <f>SUM(day_cash_behind[[#Headers],[Equipment Cost]]:day_cash_behind[[#This Row],[Equipment Cost]])</f>
        <v>31990.069513406143</v>
      </c>
      <c r="M95" s="3">
        <f>SUM(day_cash_behind[[#Headers],[Sub Cost]]:day_cash_behind[[#This Row],[Sub Cost]])</f>
        <v>0</v>
      </c>
      <c r="N95" s="3">
        <f>SUM(day_cash_behind[[#Headers],[Other Cost]]:day_cash_behind[[#This Row],[Other Cost]])</f>
        <v>26738.993710691801</v>
      </c>
      <c r="O95" s="3">
        <f>SUM(day_cash_behind[[#This Row],[Cumulative Labor]:[Cumulative Other]])</f>
        <v>424140.01601194701</v>
      </c>
      <c r="P95" s="3">
        <f>SUM(day_cash_behind[[#Headers],[Revenue]]:day_cash_behind[[#This Row],[Revenue]])</f>
        <v>0</v>
      </c>
    </row>
    <row r="96" spans="2:16" x14ac:dyDescent="0.45">
      <c r="B96" s="1">
        <v>46479</v>
      </c>
      <c r="C96" s="4">
        <f>SUMIFS(schedule[Labor CPP], schedule[Start Date],"&lt;="&amp;day_cash_behind[[#This Row],[Date]], schedule[Finish Date],"&gt;="&amp;day_cash_behind[[#This Row],[Date]])</f>
        <v>10581.238785646452</v>
      </c>
      <c r="D96" s="4">
        <f>SUMIFS(schedule[Material CPP], schedule[Start Date],"&lt;="&amp;day_cash_behind[[#This Row],[Date]]-$D$2, schedule[Finish Date],"&gt;="&amp;day_cash_behind[[#This Row],[Date]]-$D$2)</f>
        <v>1381.578947368421</v>
      </c>
      <c r="E96" s="4">
        <f>SUMIFS(schedule[Equipment CPP], schedule[Start Date],"&lt;="&amp;day_cash_behind[[#This Row],[Date]]-$E$2, schedule[Finish Date],"&gt;="&amp;day_cash_behind[[#This Row],[Date]]-$E$2)</f>
        <v>761.17179741807354</v>
      </c>
      <c r="F96" s="4">
        <f>SUMIFS(schedule[Sub CPP], schedule[Start Date],"&lt;="&amp;day_cash_behind[[#This Row],[Date]]-$F$2, schedule[Finish Date],"&gt;="&amp;day_cash_behind[[#This Row],[Date]]-$F$2)</f>
        <v>4736.8421052631575</v>
      </c>
      <c r="G96" s="3">
        <f>SUMIFS(schedule[Other CPP], schedule[Start Date],"&lt;="&amp;day_cash_behind[[#This Row],[Date]]-$G$2, schedule[Finish Date],"&gt;="&amp;day_cash_behind[[#This Row],[Date]]-$G$2)</f>
        <v>314.46540880503147</v>
      </c>
      <c r="H96" s="3">
        <f>SUM(day_cash_behind[[#This Row],[Labor Cost]:[Other Cost]])</f>
        <v>17775.297044501134</v>
      </c>
      <c r="I96" s="3">
        <f>SUMIFS(schedule[Revenue per Day], schedule[Start Date],"&lt;="&amp;day_cash_behind[[#This Row],[Date]]-$I$2, schedule[Finish Date],"&gt;="&amp;day_cash_behind[[#This Row],[Date]]-$I$2)</f>
        <v>0</v>
      </c>
      <c r="J96" s="3">
        <f>SUM(day_cash_behind[[#Headers],[Labor Cost]]:day_cash_behind[[#This Row],[Labor Cost]])</f>
        <v>338886.92841560079</v>
      </c>
      <c r="K96" s="3">
        <f>SUM(day_cash_behind[[#Headers],[Material Cost]]:day_cash_behind[[#This Row],[Material Cost]])</f>
        <v>38486.842105263153</v>
      </c>
      <c r="L96" s="3">
        <f>SUM(day_cash_behind[[#Headers],[Equipment Cost]]:day_cash_behind[[#This Row],[Equipment Cost]])</f>
        <v>32751.241310824214</v>
      </c>
      <c r="M96" s="3">
        <f>SUM(day_cash_behind[[#Headers],[Sub Cost]]:day_cash_behind[[#This Row],[Sub Cost]])</f>
        <v>4736.8421052631575</v>
      </c>
      <c r="N96" s="3">
        <f>SUM(day_cash_behind[[#Headers],[Other Cost]]:day_cash_behind[[#This Row],[Other Cost]])</f>
        <v>27053.459119496831</v>
      </c>
      <c r="O96" s="3">
        <f>SUM(day_cash_behind[[#This Row],[Cumulative Labor]:[Cumulative Other]])</f>
        <v>441915.31305644813</v>
      </c>
      <c r="P96" s="3">
        <f>SUM(day_cash_behind[[#Headers],[Revenue]]:day_cash_behind[[#This Row],[Revenue]])</f>
        <v>0</v>
      </c>
    </row>
    <row r="97" spans="2:16" x14ac:dyDescent="0.45">
      <c r="B97" s="1">
        <v>46480</v>
      </c>
      <c r="C97" s="4">
        <f>SUMIFS(schedule[Labor CPP], schedule[Start Date],"&lt;="&amp;day_cash_behind[[#This Row],[Date]], schedule[Finish Date],"&gt;="&amp;day_cash_behind[[#This Row],[Date]])</f>
        <v>6914.572118979785</v>
      </c>
      <c r="D97" s="4">
        <f>SUMIFS(schedule[Material CPP], schedule[Start Date],"&lt;="&amp;day_cash_behind[[#This Row],[Date]]-$D$2, schedule[Finish Date],"&gt;="&amp;day_cash_behind[[#This Row],[Date]]-$D$2)</f>
        <v>1381.578947368421</v>
      </c>
      <c r="E97" s="4">
        <f>SUMIFS(schedule[Equipment CPP], schedule[Start Date],"&lt;="&amp;day_cash_behind[[#This Row],[Date]]-$E$2, schedule[Finish Date],"&gt;="&amp;day_cash_behind[[#This Row],[Date]]-$E$2)</f>
        <v>761.17179741807354</v>
      </c>
      <c r="F97" s="4">
        <f>SUMIFS(schedule[Sub CPP], schedule[Start Date],"&lt;="&amp;day_cash_behind[[#This Row],[Date]]-$F$2, schedule[Finish Date],"&gt;="&amp;day_cash_behind[[#This Row],[Date]]-$F$2)</f>
        <v>4736.8421052631575</v>
      </c>
      <c r="G97" s="3">
        <f>SUMIFS(schedule[Other CPP], schedule[Start Date],"&lt;="&amp;day_cash_behind[[#This Row],[Date]]-$G$2, schedule[Finish Date],"&gt;="&amp;day_cash_behind[[#This Row],[Date]]-$G$2)</f>
        <v>314.46540880503147</v>
      </c>
      <c r="H97" s="3">
        <f>SUM(day_cash_behind[[#This Row],[Labor Cost]:[Other Cost]])</f>
        <v>14108.630377834468</v>
      </c>
      <c r="I97" s="3">
        <f>SUMIFS(schedule[Revenue per Day], schedule[Start Date],"&lt;="&amp;day_cash_behind[[#This Row],[Date]]-$I$2, schedule[Finish Date],"&gt;="&amp;day_cash_behind[[#This Row],[Date]]-$I$2)</f>
        <v>0</v>
      </c>
      <c r="J97" s="3">
        <f>SUM(day_cash_behind[[#Headers],[Labor Cost]]:day_cash_behind[[#This Row],[Labor Cost]])</f>
        <v>345801.50053458055</v>
      </c>
      <c r="K97" s="3">
        <f>SUM(day_cash_behind[[#Headers],[Material Cost]]:day_cash_behind[[#This Row],[Material Cost]])</f>
        <v>39868.421052631573</v>
      </c>
      <c r="L97" s="3">
        <f>SUM(day_cash_behind[[#Headers],[Equipment Cost]]:day_cash_behind[[#This Row],[Equipment Cost]])</f>
        <v>33512.41310824229</v>
      </c>
      <c r="M97" s="3">
        <f>SUM(day_cash_behind[[#Headers],[Sub Cost]]:day_cash_behind[[#This Row],[Sub Cost]])</f>
        <v>9473.6842105263149</v>
      </c>
      <c r="N97" s="3">
        <f>SUM(day_cash_behind[[#Headers],[Other Cost]]:day_cash_behind[[#This Row],[Other Cost]])</f>
        <v>27367.924528301861</v>
      </c>
      <c r="O97" s="3">
        <f>SUM(day_cash_behind[[#This Row],[Cumulative Labor]:[Cumulative Other]])</f>
        <v>456023.94343428256</v>
      </c>
      <c r="P97" s="3">
        <f>SUM(day_cash_behind[[#Headers],[Revenue]]:day_cash_behind[[#This Row],[Revenue]])</f>
        <v>0</v>
      </c>
    </row>
    <row r="98" spans="2:16" x14ac:dyDescent="0.45">
      <c r="B98" s="1">
        <v>46481</v>
      </c>
      <c r="C98" s="4">
        <f>SUMIFS(schedule[Labor CPP], schedule[Start Date],"&lt;="&amp;day_cash_behind[[#This Row],[Date]], schedule[Finish Date],"&gt;="&amp;day_cash_behind[[#This Row],[Date]])</f>
        <v>6914.572118979785</v>
      </c>
      <c r="D98" s="4">
        <f>SUMIFS(schedule[Material CPP], schedule[Start Date],"&lt;="&amp;day_cash_behind[[#This Row],[Date]]-$D$2, schedule[Finish Date],"&gt;="&amp;day_cash_behind[[#This Row],[Date]]-$D$2)</f>
        <v>3125.7649938800487</v>
      </c>
      <c r="E98" s="4">
        <f>SUMIFS(schedule[Equipment CPP], schedule[Start Date],"&lt;="&amp;day_cash_behind[[#This Row],[Date]]-$E$2, schedule[Finish Date],"&gt;="&amp;day_cash_behind[[#This Row],[Date]]-$E$2)</f>
        <v>761.17179741807354</v>
      </c>
      <c r="F98" s="4">
        <f>SUMIFS(schedule[Sub CPP], schedule[Start Date],"&lt;="&amp;day_cash_behind[[#This Row],[Date]]-$F$2, schedule[Finish Date],"&gt;="&amp;day_cash_behind[[#This Row],[Date]]-$F$2)</f>
        <v>4736.8421052631575</v>
      </c>
      <c r="G98" s="3">
        <f>SUMIFS(schedule[Other CPP], schedule[Start Date],"&lt;="&amp;day_cash_behind[[#This Row],[Date]]-$G$2, schedule[Finish Date],"&gt;="&amp;day_cash_behind[[#This Row],[Date]]-$G$2)</f>
        <v>314.46540880503147</v>
      </c>
      <c r="H98" s="3">
        <f>SUM(day_cash_behind[[#This Row],[Labor Cost]:[Other Cost]])</f>
        <v>15852.816424346098</v>
      </c>
      <c r="I98" s="3">
        <f>SUMIFS(schedule[Revenue per Day], schedule[Start Date],"&lt;="&amp;day_cash_behind[[#This Row],[Date]]-$I$2, schedule[Finish Date],"&gt;="&amp;day_cash_behind[[#This Row],[Date]]-$I$2)</f>
        <v>2092.7672955974845</v>
      </c>
      <c r="J98" s="3">
        <f>SUM(day_cash_behind[[#Headers],[Labor Cost]]:day_cash_behind[[#This Row],[Labor Cost]])</f>
        <v>352716.07265356032</v>
      </c>
      <c r="K98" s="3">
        <f>SUM(day_cash_behind[[#Headers],[Material Cost]]:day_cash_behind[[#This Row],[Material Cost]])</f>
        <v>42994.186046511619</v>
      </c>
      <c r="L98" s="3">
        <f>SUM(day_cash_behind[[#Headers],[Equipment Cost]]:day_cash_behind[[#This Row],[Equipment Cost]])</f>
        <v>34273.584905660362</v>
      </c>
      <c r="M98" s="3">
        <f>SUM(day_cash_behind[[#Headers],[Sub Cost]]:day_cash_behind[[#This Row],[Sub Cost]])</f>
        <v>14210.526315789473</v>
      </c>
      <c r="N98" s="3">
        <f>SUM(day_cash_behind[[#Headers],[Other Cost]]:day_cash_behind[[#This Row],[Other Cost]])</f>
        <v>27682.389937106891</v>
      </c>
      <c r="O98" s="3">
        <f>SUM(day_cash_behind[[#This Row],[Cumulative Labor]:[Cumulative Other]])</f>
        <v>471876.75985862868</v>
      </c>
      <c r="P98" s="3">
        <f>SUM(day_cash_behind[[#Headers],[Revenue]]:day_cash_behind[[#This Row],[Revenue]])</f>
        <v>2092.7672955974845</v>
      </c>
    </row>
    <row r="99" spans="2:16" x14ac:dyDescent="0.45">
      <c r="B99" s="1">
        <v>46482</v>
      </c>
      <c r="C99" s="4">
        <f>SUMIFS(schedule[Labor CPP], schedule[Start Date],"&lt;="&amp;day_cash_behind[[#This Row],[Date]], schedule[Finish Date],"&gt;="&amp;day_cash_behind[[#This Row],[Date]])</f>
        <v>6914.572118979785</v>
      </c>
      <c r="D99" s="4">
        <f>SUMIFS(schedule[Material CPP], schedule[Start Date],"&lt;="&amp;day_cash_behind[[#This Row],[Date]]-$D$2, schedule[Finish Date],"&gt;="&amp;day_cash_behind[[#This Row],[Date]]-$D$2)</f>
        <v>1744.1860465116279</v>
      </c>
      <c r="E99" s="4">
        <f>SUMIFS(schedule[Equipment CPP], schedule[Start Date],"&lt;="&amp;day_cash_behind[[#This Row],[Date]]-$E$2, schedule[Finish Date],"&gt;="&amp;day_cash_behind[[#This Row],[Date]]-$E$2)</f>
        <v>471.69811320754718</v>
      </c>
      <c r="F99" s="4">
        <f>SUMIFS(schedule[Sub CPP], schedule[Start Date],"&lt;="&amp;day_cash_behind[[#This Row],[Date]]-$F$2, schedule[Finish Date],"&gt;="&amp;day_cash_behind[[#This Row],[Date]]-$F$2)</f>
        <v>4736.8421052631575</v>
      </c>
      <c r="G99" s="3">
        <f>SUMIFS(schedule[Other CPP], schedule[Start Date],"&lt;="&amp;day_cash_behind[[#This Row],[Date]]-$G$2, schedule[Finish Date],"&gt;="&amp;day_cash_behind[[#This Row],[Date]]-$G$2)</f>
        <v>314.46540880503147</v>
      </c>
      <c r="H99" s="3">
        <f>SUM(day_cash_behind[[#This Row],[Labor Cost]:[Other Cost]])</f>
        <v>14181.763792767151</v>
      </c>
      <c r="I99" s="3">
        <f>SUMIFS(schedule[Revenue per Day], schedule[Start Date],"&lt;="&amp;day_cash_behind[[#This Row],[Date]]-$I$2, schedule[Finish Date],"&gt;="&amp;day_cash_behind[[#This Row],[Date]]-$I$2)</f>
        <v>2092.7672955974845</v>
      </c>
      <c r="J99" s="3">
        <f>SUM(day_cash_behind[[#Headers],[Labor Cost]]:day_cash_behind[[#This Row],[Labor Cost]])</f>
        <v>359630.64477254008</v>
      </c>
      <c r="K99" s="3">
        <f>SUM(day_cash_behind[[#Headers],[Material Cost]]:day_cash_behind[[#This Row],[Material Cost]])</f>
        <v>44738.372093023245</v>
      </c>
      <c r="L99" s="3">
        <f>SUM(day_cash_behind[[#Headers],[Equipment Cost]]:day_cash_behind[[#This Row],[Equipment Cost]])</f>
        <v>34745.283018867907</v>
      </c>
      <c r="M99" s="3">
        <f>SUM(day_cash_behind[[#Headers],[Sub Cost]]:day_cash_behind[[#This Row],[Sub Cost]])</f>
        <v>18947.36842105263</v>
      </c>
      <c r="N99" s="3">
        <f>SUM(day_cash_behind[[#Headers],[Other Cost]]:day_cash_behind[[#This Row],[Other Cost]])</f>
        <v>27996.855345911921</v>
      </c>
      <c r="O99" s="3">
        <f>SUM(day_cash_behind[[#This Row],[Cumulative Labor]:[Cumulative Other]])</f>
        <v>486058.52365139581</v>
      </c>
      <c r="P99" s="3">
        <f>SUM(day_cash_behind[[#Headers],[Revenue]]:day_cash_behind[[#This Row],[Revenue]])</f>
        <v>4185.5345911949689</v>
      </c>
    </row>
    <row r="100" spans="2:16" x14ac:dyDescent="0.45">
      <c r="B100" s="1">
        <v>46483</v>
      </c>
      <c r="C100" s="4">
        <f>SUMIFS(schedule[Labor CPP], schedule[Start Date],"&lt;="&amp;day_cash_behind[[#This Row],[Date]], schedule[Finish Date],"&gt;="&amp;day_cash_behind[[#This Row],[Date]])</f>
        <v>6914.572118979785</v>
      </c>
      <c r="D100" s="4">
        <f>SUMIFS(schedule[Material CPP], schedule[Start Date],"&lt;="&amp;day_cash_behind[[#This Row],[Date]]-$D$2, schedule[Finish Date],"&gt;="&amp;day_cash_behind[[#This Row],[Date]]-$D$2)</f>
        <v>1744.1860465116279</v>
      </c>
      <c r="E100" s="4">
        <f>SUMIFS(schedule[Equipment CPP], schedule[Start Date],"&lt;="&amp;day_cash_behind[[#This Row],[Date]]-$E$2, schedule[Finish Date],"&gt;="&amp;day_cash_behind[[#This Row],[Date]]-$E$2)</f>
        <v>471.69811320754718</v>
      </c>
      <c r="F100" s="4">
        <f>SUMIFS(schedule[Sub CPP], schedule[Start Date],"&lt;="&amp;day_cash_behind[[#This Row],[Date]]-$F$2, schedule[Finish Date],"&gt;="&amp;day_cash_behind[[#This Row],[Date]]-$F$2)</f>
        <v>4736.8421052631575</v>
      </c>
      <c r="G100" s="3">
        <f>SUMIFS(schedule[Other CPP], schedule[Start Date],"&lt;="&amp;day_cash_behind[[#This Row],[Date]]-$G$2, schedule[Finish Date],"&gt;="&amp;day_cash_behind[[#This Row],[Date]]-$G$2)</f>
        <v>314.46540880503147</v>
      </c>
      <c r="H100" s="3">
        <f>SUM(day_cash_behind[[#This Row],[Labor Cost]:[Other Cost]])</f>
        <v>14181.763792767151</v>
      </c>
      <c r="I100" s="3">
        <f>SUMIFS(schedule[Revenue per Day], schedule[Start Date],"&lt;="&amp;day_cash_behind[[#This Row],[Date]]-$I$2, schedule[Finish Date],"&gt;="&amp;day_cash_behind[[#This Row],[Date]]-$I$2)</f>
        <v>2092.7672955974845</v>
      </c>
      <c r="J100" s="3">
        <f>SUM(day_cash_behind[[#Headers],[Labor Cost]]:day_cash_behind[[#This Row],[Labor Cost]])</f>
        <v>366545.21689151984</v>
      </c>
      <c r="K100" s="3">
        <f>SUM(day_cash_behind[[#Headers],[Material Cost]]:day_cash_behind[[#This Row],[Material Cost]])</f>
        <v>46482.558139534871</v>
      </c>
      <c r="L100" s="3">
        <f>SUM(day_cash_behind[[#Headers],[Equipment Cost]]:day_cash_behind[[#This Row],[Equipment Cost]])</f>
        <v>35216.981132075452</v>
      </c>
      <c r="M100" s="3">
        <f>SUM(day_cash_behind[[#Headers],[Sub Cost]]:day_cash_behind[[#This Row],[Sub Cost]])</f>
        <v>23684.210526315786</v>
      </c>
      <c r="N100" s="3">
        <f>SUM(day_cash_behind[[#Headers],[Other Cost]]:day_cash_behind[[#This Row],[Other Cost]])</f>
        <v>28311.320754716951</v>
      </c>
      <c r="O100" s="3">
        <f>SUM(day_cash_behind[[#This Row],[Cumulative Labor]:[Cumulative Other]])</f>
        <v>500240.28744416288</v>
      </c>
      <c r="P100" s="3">
        <f>SUM(day_cash_behind[[#Headers],[Revenue]]:day_cash_behind[[#This Row],[Revenue]])</f>
        <v>6278.3018867924529</v>
      </c>
    </row>
    <row r="101" spans="2:16" x14ac:dyDescent="0.45">
      <c r="B101" s="1">
        <v>46484</v>
      </c>
      <c r="C101" s="4">
        <f>SUMIFS(schedule[Labor CPP], schedule[Start Date],"&lt;="&amp;day_cash_behind[[#This Row],[Date]], schedule[Finish Date],"&gt;="&amp;day_cash_behind[[#This Row],[Date]])</f>
        <v>6914.572118979785</v>
      </c>
      <c r="D101" s="4">
        <f>SUMIFS(schedule[Material CPP], schedule[Start Date],"&lt;="&amp;day_cash_behind[[#This Row],[Date]]-$D$2, schedule[Finish Date],"&gt;="&amp;day_cash_behind[[#This Row],[Date]]-$D$2)</f>
        <v>1744.1860465116279</v>
      </c>
      <c r="E101" s="4">
        <f>SUMIFS(schedule[Equipment CPP], schedule[Start Date],"&lt;="&amp;day_cash_behind[[#This Row],[Date]]-$E$2, schedule[Finish Date],"&gt;="&amp;day_cash_behind[[#This Row],[Date]]-$E$2)</f>
        <v>471.69811320754718</v>
      </c>
      <c r="F101" s="4">
        <f>SUMIFS(schedule[Sub CPP], schedule[Start Date],"&lt;="&amp;day_cash_behind[[#This Row],[Date]]-$F$2, schedule[Finish Date],"&gt;="&amp;day_cash_behind[[#This Row],[Date]]-$F$2)</f>
        <v>4736.8421052631575</v>
      </c>
      <c r="G101" s="3">
        <f>SUMIFS(schedule[Other CPP], schedule[Start Date],"&lt;="&amp;day_cash_behind[[#This Row],[Date]]-$G$2, schedule[Finish Date],"&gt;="&amp;day_cash_behind[[#This Row],[Date]]-$G$2)</f>
        <v>314.46540880503147</v>
      </c>
      <c r="H101" s="3">
        <f>SUM(day_cash_behind[[#This Row],[Labor Cost]:[Other Cost]])</f>
        <v>14181.763792767151</v>
      </c>
      <c r="I101" s="3">
        <f>SUMIFS(schedule[Revenue per Day], schedule[Start Date],"&lt;="&amp;day_cash_behind[[#This Row],[Date]]-$I$2, schedule[Finish Date],"&gt;="&amp;day_cash_behind[[#This Row],[Date]]-$I$2)</f>
        <v>2092.7672955974845</v>
      </c>
      <c r="J101" s="3">
        <f>SUM(day_cash_behind[[#Headers],[Labor Cost]]:day_cash_behind[[#This Row],[Labor Cost]])</f>
        <v>373459.7890104996</v>
      </c>
      <c r="K101" s="3">
        <f>SUM(day_cash_behind[[#Headers],[Material Cost]]:day_cash_behind[[#This Row],[Material Cost]])</f>
        <v>48226.744186046497</v>
      </c>
      <c r="L101" s="3">
        <f>SUM(day_cash_behind[[#Headers],[Equipment Cost]]:day_cash_behind[[#This Row],[Equipment Cost]])</f>
        <v>35688.679245282998</v>
      </c>
      <c r="M101" s="3">
        <f>SUM(day_cash_behind[[#Headers],[Sub Cost]]:day_cash_behind[[#This Row],[Sub Cost]])</f>
        <v>28421.052631578943</v>
      </c>
      <c r="N101" s="3">
        <f>SUM(day_cash_behind[[#Headers],[Other Cost]]:day_cash_behind[[#This Row],[Other Cost]])</f>
        <v>28625.786163521982</v>
      </c>
      <c r="O101" s="3">
        <f>SUM(day_cash_behind[[#This Row],[Cumulative Labor]:[Cumulative Other]])</f>
        <v>514422.05123693001</v>
      </c>
      <c r="P101" s="3">
        <f>SUM(day_cash_behind[[#Headers],[Revenue]]:day_cash_behind[[#This Row],[Revenue]])</f>
        <v>8371.0691823899379</v>
      </c>
    </row>
    <row r="102" spans="2:16" x14ac:dyDescent="0.45">
      <c r="B102" s="1">
        <v>46485</v>
      </c>
      <c r="C102" s="4">
        <f>SUMIFS(schedule[Labor CPP], schedule[Start Date],"&lt;="&amp;day_cash_behind[[#This Row],[Date]], schedule[Finish Date],"&gt;="&amp;day_cash_behind[[#This Row],[Date]])</f>
        <v>6914.572118979785</v>
      </c>
      <c r="D102" s="4">
        <f>SUMIFS(schedule[Material CPP], schedule[Start Date],"&lt;="&amp;day_cash_behind[[#This Row],[Date]]-$D$2, schedule[Finish Date],"&gt;="&amp;day_cash_behind[[#This Row],[Date]]-$D$2)</f>
        <v>1744.1860465116279</v>
      </c>
      <c r="E102" s="4">
        <f>SUMIFS(schedule[Equipment CPP], schedule[Start Date],"&lt;="&amp;day_cash_behind[[#This Row],[Date]]-$E$2, schedule[Finish Date],"&gt;="&amp;day_cash_behind[[#This Row],[Date]]-$E$2)</f>
        <v>471.69811320754718</v>
      </c>
      <c r="F102" s="4">
        <f>SUMIFS(schedule[Sub CPP], schedule[Start Date],"&lt;="&amp;day_cash_behind[[#This Row],[Date]]-$F$2, schedule[Finish Date],"&gt;="&amp;day_cash_behind[[#This Row],[Date]]-$F$2)</f>
        <v>4736.8421052631575</v>
      </c>
      <c r="G102" s="3">
        <f>SUMIFS(schedule[Other CPP], schedule[Start Date],"&lt;="&amp;day_cash_behind[[#This Row],[Date]]-$G$2, schedule[Finish Date],"&gt;="&amp;day_cash_behind[[#This Row],[Date]]-$G$2)</f>
        <v>314.46540880503147</v>
      </c>
      <c r="H102" s="3">
        <f>SUM(day_cash_behind[[#This Row],[Labor Cost]:[Other Cost]])</f>
        <v>14181.763792767151</v>
      </c>
      <c r="I102" s="3">
        <f>SUMIFS(schedule[Revenue per Day], schedule[Start Date],"&lt;="&amp;day_cash_behind[[#This Row],[Date]]-$I$2, schedule[Finish Date],"&gt;="&amp;day_cash_behind[[#This Row],[Date]]-$I$2)</f>
        <v>2092.7672955974845</v>
      </c>
      <c r="J102" s="3">
        <f>SUM(day_cash_behind[[#Headers],[Labor Cost]]:day_cash_behind[[#This Row],[Labor Cost]])</f>
        <v>380374.36112947937</v>
      </c>
      <c r="K102" s="3">
        <f>SUM(day_cash_behind[[#Headers],[Material Cost]]:day_cash_behind[[#This Row],[Material Cost]])</f>
        <v>49970.930232558123</v>
      </c>
      <c r="L102" s="3">
        <f>SUM(day_cash_behind[[#Headers],[Equipment Cost]]:day_cash_behind[[#This Row],[Equipment Cost]])</f>
        <v>36160.377358490543</v>
      </c>
      <c r="M102" s="3">
        <f>SUM(day_cash_behind[[#Headers],[Sub Cost]]:day_cash_behind[[#This Row],[Sub Cost]])</f>
        <v>33157.8947368421</v>
      </c>
      <c r="N102" s="3">
        <f>SUM(day_cash_behind[[#Headers],[Other Cost]]:day_cash_behind[[#This Row],[Other Cost]])</f>
        <v>28940.251572327012</v>
      </c>
      <c r="O102" s="3">
        <f>SUM(day_cash_behind[[#This Row],[Cumulative Labor]:[Cumulative Other]])</f>
        <v>528603.81502969714</v>
      </c>
      <c r="P102" s="3">
        <f>SUM(day_cash_behind[[#Headers],[Revenue]]:day_cash_behind[[#This Row],[Revenue]])</f>
        <v>10463.836477987423</v>
      </c>
    </row>
    <row r="103" spans="2:16" x14ac:dyDescent="0.45">
      <c r="B103" s="1">
        <v>46486</v>
      </c>
      <c r="C103" s="4">
        <f>SUMIFS(schedule[Labor CPP], schedule[Start Date],"&lt;="&amp;day_cash_behind[[#This Row],[Date]], schedule[Finish Date],"&gt;="&amp;day_cash_behind[[#This Row],[Date]])</f>
        <v>6914.572118979785</v>
      </c>
      <c r="D103" s="4">
        <f>SUMIFS(schedule[Material CPP], schedule[Start Date],"&lt;="&amp;day_cash_behind[[#This Row],[Date]]-$D$2, schedule[Finish Date],"&gt;="&amp;day_cash_behind[[#This Row],[Date]]-$D$2)</f>
        <v>1744.1860465116279</v>
      </c>
      <c r="E103" s="4">
        <f>SUMIFS(schedule[Equipment CPP], schedule[Start Date],"&lt;="&amp;day_cash_behind[[#This Row],[Date]]-$E$2, schedule[Finish Date],"&gt;="&amp;day_cash_behind[[#This Row],[Date]]-$E$2)</f>
        <v>471.69811320754718</v>
      </c>
      <c r="F103" s="4">
        <f>SUMIFS(schedule[Sub CPP], schedule[Start Date],"&lt;="&amp;day_cash_behind[[#This Row],[Date]]-$F$2, schedule[Finish Date],"&gt;="&amp;day_cash_behind[[#This Row],[Date]]-$F$2)</f>
        <v>4736.8421052631575</v>
      </c>
      <c r="G103" s="3">
        <f>SUMIFS(schedule[Other CPP], schedule[Start Date],"&lt;="&amp;day_cash_behind[[#This Row],[Date]]-$G$2, schedule[Finish Date],"&gt;="&amp;day_cash_behind[[#This Row],[Date]]-$G$2)</f>
        <v>314.46540880503147</v>
      </c>
      <c r="H103" s="3">
        <f>SUM(day_cash_behind[[#This Row],[Labor Cost]:[Other Cost]])</f>
        <v>14181.763792767151</v>
      </c>
      <c r="I103" s="3">
        <f>SUMIFS(schedule[Revenue per Day], schedule[Start Date],"&lt;="&amp;day_cash_behind[[#This Row],[Date]]-$I$2, schedule[Finish Date],"&gt;="&amp;day_cash_behind[[#This Row],[Date]]-$I$2)</f>
        <v>2092.7672955974845</v>
      </c>
      <c r="J103" s="3">
        <f>SUM(day_cash_behind[[#Headers],[Labor Cost]]:day_cash_behind[[#This Row],[Labor Cost]])</f>
        <v>387288.93324845913</v>
      </c>
      <c r="K103" s="3">
        <f>SUM(day_cash_behind[[#Headers],[Material Cost]]:day_cash_behind[[#This Row],[Material Cost]])</f>
        <v>51715.116279069749</v>
      </c>
      <c r="L103" s="3">
        <f>SUM(day_cash_behind[[#Headers],[Equipment Cost]]:day_cash_behind[[#This Row],[Equipment Cost]])</f>
        <v>36632.075471698088</v>
      </c>
      <c r="M103" s="3">
        <f>SUM(day_cash_behind[[#Headers],[Sub Cost]]:day_cash_behind[[#This Row],[Sub Cost]])</f>
        <v>37894.73684210526</v>
      </c>
      <c r="N103" s="3">
        <f>SUM(day_cash_behind[[#Headers],[Other Cost]]:day_cash_behind[[#This Row],[Other Cost]])</f>
        <v>29254.716981132042</v>
      </c>
      <c r="O103" s="3">
        <f>SUM(day_cash_behind[[#This Row],[Cumulative Labor]:[Cumulative Other]])</f>
        <v>542785.57882246422</v>
      </c>
      <c r="P103" s="3">
        <f>SUM(day_cash_behind[[#Headers],[Revenue]]:day_cash_behind[[#This Row],[Revenue]])</f>
        <v>12556.603773584908</v>
      </c>
    </row>
    <row r="104" spans="2:16" x14ac:dyDescent="0.45">
      <c r="B104" s="1">
        <v>46487</v>
      </c>
      <c r="C104" s="4">
        <f>SUMIFS(schedule[Labor CPP], schedule[Start Date],"&lt;="&amp;day_cash_behind[[#This Row],[Date]], schedule[Finish Date],"&gt;="&amp;day_cash_behind[[#This Row],[Date]])</f>
        <v>6914.572118979785</v>
      </c>
      <c r="D104" s="4">
        <f>SUMIFS(schedule[Material CPP], schedule[Start Date],"&lt;="&amp;day_cash_behind[[#This Row],[Date]]-$D$2, schedule[Finish Date],"&gt;="&amp;day_cash_behind[[#This Row],[Date]]-$D$2)</f>
        <v>1744.1860465116279</v>
      </c>
      <c r="E104" s="4">
        <f>SUMIFS(schedule[Equipment CPP], schedule[Start Date],"&lt;="&amp;day_cash_behind[[#This Row],[Date]]-$E$2, schedule[Finish Date],"&gt;="&amp;day_cash_behind[[#This Row],[Date]]-$E$2)</f>
        <v>471.69811320754718</v>
      </c>
      <c r="F104" s="4">
        <f>SUMIFS(schedule[Sub CPP], schedule[Start Date],"&lt;="&amp;day_cash_behind[[#This Row],[Date]]-$F$2, schedule[Finish Date],"&gt;="&amp;day_cash_behind[[#This Row],[Date]]-$F$2)</f>
        <v>4736.8421052631575</v>
      </c>
      <c r="G104" s="3">
        <f>SUMIFS(schedule[Other CPP], schedule[Start Date],"&lt;="&amp;day_cash_behind[[#This Row],[Date]]-$G$2, schedule[Finish Date],"&gt;="&amp;day_cash_behind[[#This Row],[Date]]-$G$2)</f>
        <v>314.46540880503147</v>
      </c>
      <c r="H104" s="3">
        <f>SUM(day_cash_behind[[#This Row],[Labor Cost]:[Other Cost]])</f>
        <v>14181.763792767151</v>
      </c>
      <c r="I104" s="3">
        <f>SUMIFS(schedule[Revenue per Day], schedule[Start Date],"&lt;="&amp;day_cash_behind[[#This Row],[Date]]-$I$2, schedule[Finish Date],"&gt;="&amp;day_cash_behind[[#This Row],[Date]]-$I$2)</f>
        <v>2092.7672955974845</v>
      </c>
      <c r="J104" s="3">
        <f>SUM(day_cash_behind[[#Headers],[Labor Cost]]:day_cash_behind[[#This Row],[Labor Cost]])</f>
        <v>394203.50536743889</v>
      </c>
      <c r="K104" s="3">
        <f>SUM(day_cash_behind[[#Headers],[Material Cost]]:day_cash_behind[[#This Row],[Material Cost]])</f>
        <v>53459.302325581375</v>
      </c>
      <c r="L104" s="3">
        <f>SUM(day_cash_behind[[#Headers],[Equipment Cost]]:day_cash_behind[[#This Row],[Equipment Cost]])</f>
        <v>37103.773584905633</v>
      </c>
      <c r="M104" s="3">
        <f>SUM(day_cash_behind[[#Headers],[Sub Cost]]:day_cash_behind[[#This Row],[Sub Cost]])</f>
        <v>42631.57894736842</v>
      </c>
      <c r="N104" s="3">
        <f>SUM(day_cash_behind[[#Headers],[Other Cost]]:day_cash_behind[[#This Row],[Other Cost]])</f>
        <v>29569.182389937072</v>
      </c>
      <c r="O104" s="3">
        <f>SUM(day_cash_behind[[#This Row],[Cumulative Labor]:[Cumulative Other]])</f>
        <v>556967.34261523141</v>
      </c>
      <c r="P104" s="3">
        <f>SUM(day_cash_behind[[#Headers],[Revenue]]:day_cash_behind[[#This Row],[Revenue]])</f>
        <v>14649.371069182393</v>
      </c>
    </row>
    <row r="105" spans="2:16" x14ac:dyDescent="0.45">
      <c r="B105" s="1">
        <v>46488</v>
      </c>
      <c r="C105" s="4">
        <f>SUMIFS(schedule[Labor CPP], schedule[Start Date],"&lt;="&amp;day_cash_behind[[#This Row],[Date]], schedule[Finish Date],"&gt;="&amp;day_cash_behind[[#This Row],[Date]])</f>
        <v>6914.572118979785</v>
      </c>
      <c r="D105" s="4">
        <f>SUMIFS(schedule[Material CPP], schedule[Start Date],"&lt;="&amp;day_cash_behind[[#This Row],[Date]]-$D$2, schedule[Finish Date],"&gt;="&amp;day_cash_behind[[#This Row],[Date]]-$D$2)</f>
        <v>1744.1860465116279</v>
      </c>
      <c r="E105" s="4">
        <f>SUMIFS(schedule[Equipment CPP], schedule[Start Date],"&lt;="&amp;day_cash_behind[[#This Row],[Date]]-$E$2, schedule[Finish Date],"&gt;="&amp;day_cash_behind[[#This Row],[Date]]-$E$2)</f>
        <v>471.69811320754718</v>
      </c>
      <c r="F105" s="4">
        <f>SUMIFS(schedule[Sub CPP], schedule[Start Date],"&lt;="&amp;day_cash_behind[[#This Row],[Date]]-$F$2, schedule[Finish Date],"&gt;="&amp;day_cash_behind[[#This Row],[Date]]-$F$2)</f>
        <v>4736.8421052631575</v>
      </c>
      <c r="G105" s="3">
        <f>SUMIFS(schedule[Other CPP], schedule[Start Date],"&lt;="&amp;day_cash_behind[[#This Row],[Date]]-$G$2, schedule[Finish Date],"&gt;="&amp;day_cash_behind[[#This Row],[Date]]-$G$2)</f>
        <v>314.46540880503147</v>
      </c>
      <c r="H105" s="3">
        <f>SUM(day_cash_behind[[#This Row],[Labor Cost]:[Other Cost]])</f>
        <v>14181.763792767151</v>
      </c>
      <c r="I105" s="3">
        <f>SUMIFS(schedule[Revenue per Day], schedule[Start Date],"&lt;="&amp;day_cash_behind[[#This Row],[Date]]-$I$2, schedule[Finish Date],"&gt;="&amp;day_cash_behind[[#This Row],[Date]]-$I$2)</f>
        <v>2092.7672955974845</v>
      </c>
      <c r="J105" s="3">
        <f>SUM(day_cash_behind[[#Headers],[Labor Cost]]:day_cash_behind[[#This Row],[Labor Cost]])</f>
        <v>401118.07748641865</v>
      </c>
      <c r="K105" s="3">
        <f>SUM(day_cash_behind[[#Headers],[Material Cost]]:day_cash_behind[[#This Row],[Material Cost]])</f>
        <v>55203.488372093001</v>
      </c>
      <c r="L105" s="3">
        <f>SUM(day_cash_behind[[#Headers],[Equipment Cost]]:day_cash_behind[[#This Row],[Equipment Cost]])</f>
        <v>37575.471698113179</v>
      </c>
      <c r="M105" s="3">
        <f>SUM(day_cash_behind[[#Headers],[Sub Cost]]:day_cash_behind[[#This Row],[Sub Cost]])</f>
        <v>47368.42105263158</v>
      </c>
      <c r="N105" s="3">
        <f>SUM(day_cash_behind[[#Headers],[Other Cost]]:day_cash_behind[[#This Row],[Other Cost]])</f>
        <v>29883.647798742102</v>
      </c>
      <c r="O105" s="3">
        <f>SUM(day_cash_behind[[#This Row],[Cumulative Labor]:[Cumulative Other]])</f>
        <v>571149.10640799848</v>
      </c>
      <c r="P105" s="3">
        <f>SUM(day_cash_behind[[#Headers],[Revenue]]:day_cash_behind[[#This Row],[Revenue]])</f>
        <v>16742.138364779876</v>
      </c>
    </row>
    <row r="106" spans="2:16" x14ac:dyDescent="0.45">
      <c r="B106" s="1">
        <v>46489</v>
      </c>
      <c r="C106" s="4">
        <f>SUMIFS(schedule[Labor CPP], schedule[Start Date],"&lt;="&amp;day_cash_behind[[#This Row],[Date]], schedule[Finish Date],"&gt;="&amp;day_cash_behind[[#This Row],[Date]])</f>
        <v>6914.572118979785</v>
      </c>
      <c r="D106" s="4">
        <f>SUMIFS(schedule[Material CPP], schedule[Start Date],"&lt;="&amp;day_cash_behind[[#This Row],[Date]]-$D$2, schedule[Finish Date],"&gt;="&amp;day_cash_behind[[#This Row],[Date]]-$D$2)</f>
        <v>1744.1860465116279</v>
      </c>
      <c r="E106" s="4">
        <f>SUMIFS(schedule[Equipment CPP], schedule[Start Date],"&lt;="&amp;day_cash_behind[[#This Row],[Date]]-$E$2, schedule[Finish Date],"&gt;="&amp;day_cash_behind[[#This Row],[Date]]-$E$2)</f>
        <v>471.69811320754718</v>
      </c>
      <c r="F106" s="4">
        <f>SUMIFS(schedule[Sub CPP], schedule[Start Date],"&lt;="&amp;day_cash_behind[[#This Row],[Date]]-$F$2, schedule[Finish Date],"&gt;="&amp;day_cash_behind[[#This Row],[Date]]-$F$2)</f>
        <v>4736.8421052631575</v>
      </c>
      <c r="G106" s="3">
        <f>SUMIFS(schedule[Other CPP], schedule[Start Date],"&lt;="&amp;day_cash_behind[[#This Row],[Date]]-$G$2, schedule[Finish Date],"&gt;="&amp;day_cash_behind[[#This Row],[Date]]-$G$2)</f>
        <v>314.46540880503147</v>
      </c>
      <c r="H106" s="3">
        <f>SUM(day_cash_behind[[#This Row],[Labor Cost]:[Other Cost]])</f>
        <v>14181.763792767151</v>
      </c>
      <c r="I106" s="3">
        <f>SUMIFS(schedule[Revenue per Day], schedule[Start Date],"&lt;="&amp;day_cash_behind[[#This Row],[Date]]-$I$2, schedule[Finish Date],"&gt;="&amp;day_cash_behind[[#This Row],[Date]]-$I$2)</f>
        <v>3771.4629477713975</v>
      </c>
      <c r="J106" s="3">
        <f>SUM(day_cash_behind[[#Headers],[Labor Cost]]:day_cash_behind[[#This Row],[Labor Cost]])</f>
        <v>408032.64960539842</v>
      </c>
      <c r="K106" s="3">
        <f>SUM(day_cash_behind[[#Headers],[Material Cost]]:day_cash_behind[[#This Row],[Material Cost]])</f>
        <v>56947.674418604627</v>
      </c>
      <c r="L106" s="3">
        <f>SUM(day_cash_behind[[#Headers],[Equipment Cost]]:day_cash_behind[[#This Row],[Equipment Cost]])</f>
        <v>38047.169811320724</v>
      </c>
      <c r="M106" s="3">
        <f>SUM(day_cash_behind[[#Headers],[Sub Cost]]:day_cash_behind[[#This Row],[Sub Cost]])</f>
        <v>52105.26315789474</v>
      </c>
      <c r="N106" s="3">
        <f>SUM(day_cash_behind[[#Headers],[Other Cost]]:day_cash_behind[[#This Row],[Other Cost]])</f>
        <v>30198.113207547132</v>
      </c>
      <c r="O106" s="3">
        <f>SUM(day_cash_behind[[#This Row],[Cumulative Labor]:[Cumulative Other]])</f>
        <v>585330.87020076567</v>
      </c>
      <c r="P106" s="3">
        <f>SUM(day_cash_behind[[#Headers],[Revenue]]:day_cash_behind[[#This Row],[Revenue]])</f>
        <v>20513.601312551273</v>
      </c>
    </row>
    <row r="107" spans="2:16" x14ac:dyDescent="0.45">
      <c r="B107" s="1">
        <v>46490</v>
      </c>
      <c r="C107" s="4">
        <f>SUMIFS(schedule[Labor CPP], schedule[Start Date],"&lt;="&amp;day_cash_behind[[#This Row],[Date]], schedule[Finish Date],"&gt;="&amp;day_cash_behind[[#This Row],[Date]])</f>
        <v>6914.572118979785</v>
      </c>
      <c r="D107" s="4">
        <f>SUMIFS(schedule[Material CPP], schedule[Start Date],"&lt;="&amp;day_cash_behind[[#This Row],[Date]]-$D$2, schedule[Finish Date],"&gt;="&amp;day_cash_behind[[#This Row],[Date]]-$D$2)</f>
        <v>1744.1860465116279</v>
      </c>
      <c r="E107" s="4">
        <f>SUMIFS(schedule[Equipment CPP], schedule[Start Date],"&lt;="&amp;day_cash_behind[[#This Row],[Date]]-$E$2, schedule[Finish Date],"&gt;="&amp;day_cash_behind[[#This Row],[Date]]-$E$2)</f>
        <v>471.69811320754718</v>
      </c>
      <c r="F107" s="4">
        <f>SUMIFS(schedule[Sub CPP], schedule[Start Date],"&lt;="&amp;day_cash_behind[[#This Row],[Date]]-$F$2, schedule[Finish Date],"&gt;="&amp;day_cash_behind[[#This Row],[Date]]-$F$2)</f>
        <v>4736.8421052631575</v>
      </c>
      <c r="G107" s="3">
        <f>SUMIFS(schedule[Other CPP], schedule[Start Date],"&lt;="&amp;day_cash_behind[[#This Row],[Date]]-$G$2, schedule[Finish Date],"&gt;="&amp;day_cash_behind[[#This Row],[Date]]-$G$2)</f>
        <v>314.46540880503147</v>
      </c>
      <c r="H107" s="3">
        <f>SUM(day_cash_behind[[#This Row],[Labor Cost]:[Other Cost]])</f>
        <v>14181.763792767151</v>
      </c>
      <c r="I107" s="3">
        <f>SUMIFS(schedule[Revenue per Day], schedule[Start Date],"&lt;="&amp;day_cash_behind[[#This Row],[Date]]-$I$2, schedule[Finish Date],"&gt;="&amp;day_cash_behind[[#This Row],[Date]]-$I$2)</f>
        <v>3771.4629477713975</v>
      </c>
      <c r="J107" s="3">
        <f>SUM(day_cash_behind[[#Headers],[Labor Cost]]:day_cash_behind[[#This Row],[Labor Cost]])</f>
        <v>414947.22172437818</v>
      </c>
      <c r="K107" s="3">
        <f>SUM(day_cash_behind[[#Headers],[Material Cost]]:day_cash_behind[[#This Row],[Material Cost]])</f>
        <v>58691.860465116253</v>
      </c>
      <c r="L107" s="3">
        <f>SUM(day_cash_behind[[#Headers],[Equipment Cost]]:day_cash_behind[[#This Row],[Equipment Cost]])</f>
        <v>38518.867924528269</v>
      </c>
      <c r="M107" s="3">
        <f>SUM(day_cash_behind[[#Headers],[Sub Cost]]:day_cash_behind[[#This Row],[Sub Cost]])</f>
        <v>56842.1052631579</v>
      </c>
      <c r="N107" s="3">
        <f>SUM(day_cash_behind[[#Headers],[Other Cost]]:day_cash_behind[[#This Row],[Other Cost]])</f>
        <v>30512.578616352162</v>
      </c>
      <c r="O107" s="3">
        <f>SUM(day_cash_behind[[#This Row],[Cumulative Labor]:[Cumulative Other]])</f>
        <v>599512.63399353274</v>
      </c>
      <c r="P107" s="3">
        <f>SUM(day_cash_behind[[#Headers],[Revenue]]:day_cash_behind[[#This Row],[Revenue]])</f>
        <v>24285.06426032267</v>
      </c>
    </row>
    <row r="108" spans="2:16" x14ac:dyDescent="0.45">
      <c r="B108" s="1">
        <v>46491</v>
      </c>
      <c r="C108" s="4">
        <f>SUMIFS(schedule[Labor CPP], schedule[Start Date],"&lt;="&amp;day_cash_behind[[#This Row],[Date]], schedule[Finish Date],"&gt;="&amp;day_cash_behind[[#This Row],[Date]])</f>
        <v>6914.572118979785</v>
      </c>
      <c r="D108" s="4">
        <f>SUMIFS(schedule[Material CPP], schedule[Start Date],"&lt;="&amp;day_cash_behind[[#This Row],[Date]]-$D$2, schedule[Finish Date],"&gt;="&amp;day_cash_behind[[#This Row],[Date]]-$D$2)</f>
        <v>1744.1860465116279</v>
      </c>
      <c r="E108" s="4">
        <f>SUMIFS(schedule[Equipment CPP], schedule[Start Date],"&lt;="&amp;day_cash_behind[[#This Row],[Date]]-$E$2, schedule[Finish Date],"&gt;="&amp;day_cash_behind[[#This Row],[Date]]-$E$2)</f>
        <v>471.69811320754718</v>
      </c>
      <c r="F108" s="4">
        <f>SUMIFS(schedule[Sub CPP], schedule[Start Date],"&lt;="&amp;day_cash_behind[[#This Row],[Date]]-$F$2, schedule[Finish Date],"&gt;="&amp;day_cash_behind[[#This Row],[Date]]-$F$2)</f>
        <v>4736.8421052631575</v>
      </c>
      <c r="G108" s="3">
        <f>SUMIFS(schedule[Other CPP], schedule[Start Date],"&lt;="&amp;day_cash_behind[[#This Row],[Date]]-$G$2, schedule[Finish Date],"&gt;="&amp;day_cash_behind[[#This Row],[Date]]-$G$2)</f>
        <v>314.46540880503147</v>
      </c>
      <c r="H108" s="3">
        <f>SUM(day_cash_behind[[#This Row],[Labor Cost]:[Other Cost]])</f>
        <v>14181.763792767151</v>
      </c>
      <c r="I108" s="3">
        <f>SUMIFS(schedule[Revenue per Day], schedule[Start Date],"&lt;="&amp;day_cash_behind[[#This Row],[Date]]-$I$2, schedule[Finish Date],"&gt;="&amp;day_cash_behind[[#This Row],[Date]]-$I$2)</f>
        <v>3771.4629477713975</v>
      </c>
      <c r="J108" s="3">
        <f>SUM(day_cash_behind[[#Headers],[Labor Cost]]:day_cash_behind[[#This Row],[Labor Cost]])</f>
        <v>421861.79384335794</v>
      </c>
      <c r="K108" s="3">
        <f>SUM(day_cash_behind[[#Headers],[Material Cost]]:day_cash_behind[[#This Row],[Material Cost]])</f>
        <v>60436.046511627879</v>
      </c>
      <c r="L108" s="3">
        <f>SUM(day_cash_behind[[#Headers],[Equipment Cost]]:day_cash_behind[[#This Row],[Equipment Cost]])</f>
        <v>38990.566037735814</v>
      </c>
      <c r="M108" s="3">
        <f>SUM(day_cash_behind[[#Headers],[Sub Cost]]:day_cash_behind[[#This Row],[Sub Cost]])</f>
        <v>61578.947368421061</v>
      </c>
      <c r="N108" s="3">
        <f>SUM(day_cash_behind[[#Headers],[Other Cost]]:day_cash_behind[[#This Row],[Other Cost]])</f>
        <v>30827.044025157193</v>
      </c>
      <c r="O108" s="3">
        <f>SUM(day_cash_behind[[#This Row],[Cumulative Labor]:[Cumulative Other]])</f>
        <v>613694.39778629981</v>
      </c>
      <c r="P108" s="3">
        <f>SUM(day_cash_behind[[#Headers],[Revenue]]:day_cash_behind[[#This Row],[Revenue]])</f>
        <v>28056.527208094067</v>
      </c>
    </row>
    <row r="109" spans="2:16" x14ac:dyDescent="0.45">
      <c r="B109" s="1">
        <v>46492</v>
      </c>
      <c r="C109" s="4">
        <f>SUMIFS(schedule[Labor CPP], schedule[Start Date],"&lt;="&amp;day_cash_behind[[#This Row],[Date]], schedule[Finish Date],"&gt;="&amp;day_cash_behind[[#This Row],[Date]])</f>
        <v>6914.572118979785</v>
      </c>
      <c r="D109" s="4">
        <f>SUMIFS(schedule[Material CPP], schedule[Start Date],"&lt;="&amp;day_cash_behind[[#This Row],[Date]]-$D$2, schedule[Finish Date],"&gt;="&amp;day_cash_behind[[#This Row],[Date]]-$D$2)</f>
        <v>1744.1860465116279</v>
      </c>
      <c r="E109" s="4">
        <f>SUMIFS(schedule[Equipment CPP], schedule[Start Date],"&lt;="&amp;day_cash_behind[[#This Row],[Date]]-$E$2, schedule[Finish Date],"&gt;="&amp;day_cash_behind[[#This Row],[Date]]-$E$2)</f>
        <v>471.69811320754718</v>
      </c>
      <c r="F109" s="4">
        <f>SUMIFS(schedule[Sub CPP], schedule[Start Date],"&lt;="&amp;day_cash_behind[[#This Row],[Date]]-$F$2, schedule[Finish Date],"&gt;="&amp;day_cash_behind[[#This Row],[Date]]-$F$2)</f>
        <v>4736.8421052631575</v>
      </c>
      <c r="G109" s="3">
        <f>SUMIFS(schedule[Other CPP], schedule[Start Date],"&lt;="&amp;day_cash_behind[[#This Row],[Date]]-$G$2, schedule[Finish Date],"&gt;="&amp;day_cash_behind[[#This Row],[Date]]-$G$2)</f>
        <v>314.46540880503147</v>
      </c>
      <c r="H109" s="3">
        <f>SUM(day_cash_behind[[#This Row],[Labor Cost]:[Other Cost]])</f>
        <v>14181.763792767151</v>
      </c>
      <c r="I109" s="3">
        <f>SUMIFS(schedule[Revenue per Day], schedule[Start Date],"&lt;="&amp;day_cash_behind[[#This Row],[Date]]-$I$2, schedule[Finish Date],"&gt;="&amp;day_cash_behind[[#This Row],[Date]]-$I$2)</f>
        <v>3771.4629477713975</v>
      </c>
      <c r="J109" s="3">
        <f>SUM(day_cash_behind[[#Headers],[Labor Cost]]:day_cash_behind[[#This Row],[Labor Cost]])</f>
        <v>428776.3659623377</v>
      </c>
      <c r="K109" s="3">
        <f>SUM(day_cash_behind[[#Headers],[Material Cost]]:day_cash_behind[[#This Row],[Material Cost]])</f>
        <v>62180.232558139505</v>
      </c>
      <c r="L109" s="3">
        <f>SUM(day_cash_behind[[#Headers],[Equipment Cost]]:day_cash_behind[[#This Row],[Equipment Cost]])</f>
        <v>39462.26415094336</v>
      </c>
      <c r="M109" s="3">
        <f>SUM(day_cash_behind[[#Headers],[Sub Cost]]:day_cash_behind[[#This Row],[Sub Cost]])</f>
        <v>66315.789473684214</v>
      </c>
      <c r="N109" s="3">
        <f>SUM(day_cash_behind[[#Headers],[Other Cost]]:day_cash_behind[[#This Row],[Other Cost]])</f>
        <v>31141.509433962223</v>
      </c>
      <c r="O109" s="3">
        <f>SUM(day_cash_behind[[#This Row],[Cumulative Labor]:[Cumulative Other]])</f>
        <v>627876.16157906689</v>
      </c>
      <c r="P109" s="3">
        <f>SUM(day_cash_behind[[#Headers],[Revenue]]:day_cash_behind[[#This Row],[Revenue]])</f>
        <v>31827.990155865464</v>
      </c>
    </row>
    <row r="110" spans="2:16" x14ac:dyDescent="0.45">
      <c r="B110" s="1">
        <v>46493</v>
      </c>
      <c r="C110" s="4">
        <f>SUMIFS(schedule[Labor CPP], schedule[Start Date],"&lt;="&amp;day_cash_behind[[#This Row],[Date]], schedule[Finish Date],"&gt;="&amp;day_cash_behind[[#This Row],[Date]])</f>
        <v>6914.572118979785</v>
      </c>
      <c r="D110" s="4">
        <f>SUMIFS(schedule[Material CPP], schedule[Start Date],"&lt;="&amp;day_cash_behind[[#This Row],[Date]]-$D$2, schedule[Finish Date],"&gt;="&amp;day_cash_behind[[#This Row],[Date]]-$D$2)</f>
        <v>1744.1860465116279</v>
      </c>
      <c r="E110" s="4">
        <f>SUMIFS(schedule[Equipment CPP], schedule[Start Date],"&lt;="&amp;day_cash_behind[[#This Row],[Date]]-$E$2, schedule[Finish Date],"&gt;="&amp;day_cash_behind[[#This Row],[Date]]-$E$2)</f>
        <v>471.69811320754718</v>
      </c>
      <c r="F110" s="4">
        <f>SUMIFS(schedule[Sub CPP], schedule[Start Date],"&lt;="&amp;day_cash_behind[[#This Row],[Date]]-$F$2, schedule[Finish Date],"&gt;="&amp;day_cash_behind[[#This Row],[Date]]-$F$2)</f>
        <v>4736.8421052631575</v>
      </c>
      <c r="G110" s="3">
        <f>SUMIFS(schedule[Other CPP], schedule[Start Date],"&lt;="&amp;day_cash_behind[[#This Row],[Date]]-$G$2, schedule[Finish Date],"&gt;="&amp;day_cash_behind[[#This Row],[Date]]-$G$2)</f>
        <v>314.46540880503147</v>
      </c>
      <c r="H110" s="3">
        <f>SUM(day_cash_behind[[#This Row],[Labor Cost]:[Other Cost]])</f>
        <v>14181.763792767151</v>
      </c>
      <c r="I110" s="3">
        <f>SUMIFS(schedule[Revenue per Day], schedule[Start Date],"&lt;="&amp;day_cash_behind[[#This Row],[Date]]-$I$2, schedule[Finish Date],"&gt;="&amp;day_cash_behind[[#This Row],[Date]]-$I$2)</f>
        <v>3771.4629477713975</v>
      </c>
      <c r="J110" s="3">
        <f>SUM(day_cash_behind[[#Headers],[Labor Cost]]:day_cash_behind[[#This Row],[Labor Cost]])</f>
        <v>435690.93808131746</v>
      </c>
      <c r="K110" s="3">
        <f>SUM(day_cash_behind[[#Headers],[Material Cost]]:day_cash_behind[[#This Row],[Material Cost]])</f>
        <v>63924.418604651131</v>
      </c>
      <c r="L110" s="3">
        <f>SUM(day_cash_behind[[#Headers],[Equipment Cost]]:day_cash_behind[[#This Row],[Equipment Cost]])</f>
        <v>39933.962264150905</v>
      </c>
      <c r="M110" s="3">
        <f>SUM(day_cash_behind[[#Headers],[Sub Cost]]:day_cash_behind[[#This Row],[Sub Cost]])</f>
        <v>71052.631578947374</v>
      </c>
      <c r="N110" s="3">
        <f>SUM(day_cash_behind[[#Headers],[Other Cost]]:day_cash_behind[[#This Row],[Other Cost]])</f>
        <v>31455.974842767253</v>
      </c>
      <c r="O110" s="3">
        <f>SUM(day_cash_behind[[#This Row],[Cumulative Labor]:[Cumulative Other]])</f>
        <v>642057.92537183408</v>
      </c>
      <c r="P110" s="3">
        <f>SUM(day_cash_behind[[#Headers],[Revenue]]:day_cash_behind[[#This Row],[Revenue]])</f>
        <v>35599.453103636864</v>
      </c>
    </row>
    <row r="111" spans="2:16" x14ac:dyDescent="0.45">
      <c r="B111" s="1">
        <v>46494</v>
      </c>
      <c r="C111" s="4">
        <f>SUMIFS(schedule[Labor CPP], schedule[Start Date],"&lt;="&amp;day_cash_behind[[#This Row],[Date]], schedule[Finish Date],"&gt;="&amp;day_cash_behind[[#This Row],[Date]])</f>
        <v>2844.8046771193194</v>
      </c>
      <c r="D111" s="4">
        <f>SUMIFS(schedule[Material CPP], schedule[Start Date],"&lt;="&amp;day_cash_behind[[#This Row],[Date]]-$D$2, schedule[Finish Date],"&gt;="&amp;day_cash_behind[[#This Row],[Date]]-$D$2)</f>
        <v>1744.1860465116279</v>
      </c>
      <c r="E111" s="4">
        <f>SUMIFS(schedule[Equipment CPP], schedule[Start Date],"&lt;="&amp;day_cash_behind[[#This Row],[Date]]-$E$2, schedule[Finish Date],"&gt;="&amp;day_cash_behind[[#This Row],[Date]]-$E$2)</f>
        <v>471.69811320754718</v>
      </c>
      <c r="F111" s="4">
        <f>SUMIFS(schedule[Sub CPP], schedule[Start Date],"&lt;="&amp;day_cash_behind[[#This Row],[Date]]-$F$2, schedule[Finish Date],"&gt;="&amp;day_cash_behind[[#This Row],[Date]]-$F$2)</f>
        <v>4736.8421052631575</v>
      </c>
      <c r="G111" s="3">
        <f>SUMIFS(schedule[Other CPP], schedule[Start Date],"&lt;="&amp;day_cash_behind[[#This Row],[Date]]-$G$2, schedule[Finish Date],"&gt;="&amp;day_cash_behind[[#This Row],[Date]]-$G$2)</f>
        <v>314.46540880503147</v>
      </c>
      <c r="H111" s="3">
        <f>SUM(day_cash_behind[[#This Row],[Labor Cost]:[Other Cost]])</f>
        <v>10111.996350906684</v>
      </c>
      <c r="I111" s="3">
        <f>SUMIFS(schedule[Revenue per Day], schedule[Start Date],"&lt;="&amp;day_cash_behind[[#This Row],[Date]]-$I$2, schedule[Finish Date],"&gt;="&amp;day_cash_behind[[#This Row],[Date]]-$I$2)</f>
        <v>3771.4629477713975</v>
      </c>
      <c r="J111" s="3">
        <f>SUM(day_cash_behind[[#Headers],[Labor Cost]]:day_cash_behind[[#This Row],[Labor Cost]])</f>
        <v>438535.74275843677</v>
      </c>
      <c r="K111" s="3">
        <f>SUM(day_cash_behind[[#Headers],[Material Cost]]:day_cash_behind[[#This Row],[Material Cost]])</f>
        <v>65668.604651162765</v>
      </c>
      <c r="L111" s="3">
        <f>SUM(day_cash_behind[[#Headers],[Equipment Cost]]:day_cash_behind[[#This Row],[Equipment Cost]])</f>
        <v>40405.66037735845</v>
      </c>
      <c r="M111" s="3">
        <f>SUM(day_cash_behind[[#Headers],[Sub Cost]]:day_cash_behind[[#This Row],[Sub Cost]])</f>
        <v>75789.473684210534</v>
      </c>
      <c r="N111" s="3">
        <f>SUM(day_cash_behind[[#Headers],[Other Cost]]:day_cash_behind[[#This Row],[Other Cost]])</f>
        <v>31770.440251572283</v>
      </c>
      <c r="O111" s="3">
        <f>SUM(day_cash_behind[[#This Row],[Cumulative Labor]:[Cumulative Other]])</f>
        <v>652169.92172274087</v>
      </c>
      <c r="P111" s="3">
        <f>SUM(day_cash_behind[[#Headers],[Revenue]]:day_cash_behind[[#This Row],[Revenue]])</f>
        <v>39370.916051408261</v>
      </c>
    </row>
    <row r="112" spans="2:16" x14ac:dyDescent="0.45">
      <c r="B112" s="1">
        <v>46495</v>
      </c>
      <c r="C112" s="4">
        <f>SUMIFS(schedule[Labor CPP], schedule[Start Date],"&lt;="&amp;day_cash_behind[[#This Row],[Date]], schedule[Finish Date],"&gt;="&amp;day_cash_behind[[#This Row],[Date]])</f>
        <v>2844.8046771193194</v>
      </c>
      <c r="D112" s="4">
        <f>SUMIFS(schedule[Material CPP], schedule[Start Date],"&lt;="&amp;day_cash_behind[[#This Row],[Date]]-$D$2, schedule[Finish Date],"&gt;="&amp;day_cash_behind[[#This Row],[Date]]-$D$2)</f>
        <v>4910.8527131782939</v>
      </c>
      <c r="E112" s="4">
        <f>SUMIFS(schedule[Equipment CPP], schedule[Start Date],"&lt;="&amp;day_cash_behind[[#This Row],[Date]]-$E$2, schedule[Finish Date],"&gt;="&amp;day_cash_behind[[#This Row],[Date]]-$E$2)</f>
        <v>971.69811320754718</v>
      </c>
      <c r="F112" s="4">
        <f>SUMIFS(schedule[Sub CPP], schedule[Start Date],"&lt;="&amp;day_cash_behind[[#This Row],[Date]]-$F$2, schedule[Finish Date],"&gt;="&amp;day_cash_behind[[#This Row],[Date]]-$F$2)</f>
        <v>4736.8421052631575</v>
      </c>
      <c r="G112" s="3">
        <f>SUMIFS(schedule[Other CPP], schedule[Start Date],"&lt;="&amp;day_cash_behind[[#This Row],[Date]]-$G$2, schedule[Finish Date],"&gt;="&amp;day_cash_behind[[#This Row],[Date]]-$G$2)</f>
        <v>314.46540880503147</v>
      </c>
      <c r="H112" s="3">
        <f>SUM(day_cash_behind[[#This Row],[Labor Cost]:[Other Cost]])</f>
        <v>13778.66301757335</v>
      </c>
      <c r="I112" s="3">
        <f>SUMIFS(schedule[Revenue per Day], schedule[Start Date],"&lt;="&amp;day_cash_behind[[#This Row],[Date]]-$I$2, schedule[Finish Date],"&gt;="&amp;day_cash_behind[[#This Row],[Date]]-$I$2)</f>
        <v>3771.4629477713975</v>
      </c>
      <c r="J112" s="3">
        <f>SUM(day_cash_behind[[#Headers],[Labor Cost]]:day_cash_behind[[#This Row],[Labor Cost]])</f>
        <v>441380.54743555607</v>
      </c>
      <c r="K112" s="3">
        <f>SUM(day_cash_behind[[#Headers],[Material Cost]]:day_cash_behind[[#This Row],[Material Cost]])</f>
        <v>70579.457364341055</v>
      </c>
      <c r="L112" s="3">
        <f>SUM(day_cash_behind[[#Headers],[Equipment Cost]]:day_cash_behind[[#This Row],[Equipment Cost]])</f>
        <v>41377.358490565995</v>
      </c>
      <c r="M112" s="3">
        <f>SUM(day_cash_behind[[#Headers],[Sub Cost]]:day_cash_behind[[#This Row],[Sub Cost]])</f>
        <v>80526.315789473694</v>
      </c>
      <c r="N112" s="3">
        <f>SUM(day_cash_behind[[#Headers],[Other Cost]]:day_cash_behind[[#This Row],[Other Cost]])</f>
        <v>32084.905660377313</v>
      </c>
      <c r="O112" s="3">
        <f>SUM(day_cash_behind[[#This Row],[Cumulative Labor]:[Cumulative Other]])</f>
        <v>665948.58474031417</v>
      </c>
      <c r="P112" s="3">
        <f>SUM(day_cash_behind[[#Headers],[Revenue]]:day_cash_behind[[#This Row],[Revenue]])</f>
        <v>43142.378999179658</v>
      </c>
    </row>
    <row r="113" spans="2:16" x14ac:dyDescent="0.45">
      <c r="B113" s="1">
        <v>46496</v>
      </c>
      <c r="C113" s="4">
        <f>SUMIFS(schedule[Labor CPP], schedule[Start Date],"&lt;="&amp;day_cash_behind[[#This Row],[Date]], schedule[Finish Date],"&gt;="&amp;day_cash_behind[[#This Row],[Date]])</f>
        <v>2844.8046771193194</v>
      </c>
      <c r="D113" s="4">
        <f>SUMIFS(schedule[Material CPP], schedule[Start Date],"&lt;="&amp;day_cash_behind[[#This Row],[Date]]-$D$2, schedule[Finish Date],"&gt;="&amp;day_cash_behind[[#This Row],[Date]]-$D$2)</f>
        <v>4910.8527131782939</v>
      </c>
      <c r="E113" s="4">
        <f>SUMIFS(schedule[Equipment CPP], schedule[Start Date],"&lt;="&amp;day_cash_behind[[#This Row],[Date]]-$E$2, schedule[Finish Date],"&gt;="&amp;day_cash_behind[[#This Row],[Date]]-$E$2)</f>
        <v>971.69811320754718</v>
      </c>
      <c r="F113" s="4">
        <f>SUMIFS(schedule[Sub CPP], schedule[Start Date],"&lt;="&amp;day_cash_behind[[#This Row],[Date]]-$F$2, schedule[Finish Date],"&gt;="&amp;day_cash_behind[[#This Row],[Date]]-$F$2)</f>
        <v>4736.8421052631575</v>
      </c>
      <c r="G113" s="3">
        <f>SUMIFS(schedule[Other CPP], schedule[Start Date],"&lt;="&amp;day_cash_behind[[#This Row],[Date]]-$G$2, schedule[Finish Date],"&gt;="&amp;day_cash_behind[[#This Row],[Date]]-$G$2)</f>
        <v>314.46540880503147</v>
      </c>
      <c r="H113" s="3">
        <f>SUM(day_cash_behind[[#This Row],[Labor Cost]:[Other Cost]])</f>
        <v>13778.66301757335</v>
      </c>
      <c r="I113" s="3">
        <f>SUMIFS(schedule[Revenue per Day], schedule[Start Date],"&lt;="&amp;day_cash_behind[[#This Row],[Date]]-$I$2, schedule[Finish Date],"&gt;="&amp;day_cash_behind[[#This Row],[Date]]-$I$2)</f>
        <v>3771.4629477713975</v>
      </c>
      <c r="J113" s="3">
        <f>SUM(day_cash_behind[[#Headers],[Labor Cost]]:day_cash_behind[[#This Row],[Labor Cost]])</f>
        <v>444225.35211267538</v>
      </c>
      <c r="K113" s="3">
        <f>SUM(day_cash_behind[[#Headers],[Material Cost]]:day_cash_behind[[#This Row],[Material Cost]])</f>
        <v>75490.310077519345</v>
      </c>
      <c r="L113" s="3">
        <f>SUM(day_cash_behind[[#Headers],[Equipment Cost]]:day_cash_behind[[#This Row],[Equipment Cost]])</f>
        <v>42349.056603773541</v>
      </c>
      <c r="M113" s="3">
        <f>SUM(day_cash_behind[[#Headers],[Sub Cost]]:day_cash_behind[[#This Row],[Sub Cost]])</f>
        <v>85263.157894736854</v>
      </c>
      <c r="N113" s="3">
        <f>SUM(day_cash_behind[[#Headers],[Other Cost]]:day_cash_behind[[#This Row],[Other Cost]])</f>
        <v>32399.371069182343</v>
      </c>
      <c r="O113" s="3">
        <f>SUM(day_cash_behind[[#This Row],[Cumulative Labor]:[Cumulative Other]])</f>
        <v>679727.24775788735</v>
      </c>
      <c r="P113" s="3">
        <f>SUM(day_cash_behind[[#Headers],[Revenue]]:day_cash_behind[[#This Row],[Revenue]])</f>
        <v>46913.841946951055</v>
      </c>
    </row>
    <row r="114" spans="2:16" x14ac:dyDescent="0.45">
      <c r="B114" s="1">
        <v>46497</v>
      </c>
      <c r="C114" s="4">
        <f>SUMIFS(schedule[Labor CPP], schedule[Start Date],"&lt;="&amp;day_cash_behind[[#This Row],[Date]], schedule[Finish Date],"&gt;="&amp;day_cash_behind[[#This Row],[Date]])</f>
        <v>2844.8046771193194</v>
      </c>
      <c r="D114" s="4">
        <f>SUMIFS(schedule[Material CPP], schedule[Start Date],"&lt;="&amp;day_cash_behind[[#This Row],[Date]]-$D$2, schedule[Finish Date],"&gt;="&amp;day_cash_behind[[#This Row],[Date]]-$D$2)</f>
        <v>4910.8527131782939</v>
      </c>
      <c r="E114" s="4">
        <f>SUMIFS(schedule[Equipment CPP], schedule[Start Date],"&lt;="&amp;day_cash_behind[[#This Row],[Date]]-$E$2, schedule[Finish Date],"&gt;="&amp;day_cash_behind[[#This Row],[Date]]-$E$2)</f>
        <v>971.69811320754718</v>
      </c>
      <c r="F114" s="4">
        <f>SUMIFS(schedule[Sub CPP], schedule[Start Date],"&lt;="&amp;day_cash_behind[[#This Row],[Date]]-$F$2, schedule[Finish Date],"&gt;="&amp;day_cash_behind[[#This Row],[Date]]-$F$2)</f>
        <v>4736.8421052631575</v>
      </c>
      <c r="G114" s="3">
        <f>SUMIFS(schedule[Other CPP], schedule[Start Date],"&lt;="&amp;day_cash_behind[[#This Row],[Date]]-$G$2, schedule[Finish Date],"&gt;="&amp;day_cash_behind[[#This Row],[Date]]-$G$2)</f>
        <v>314.46540880503147</v>
      </c>
      <c r="H114" s="3">
        <f>SUM(day_cash_behind[[#This Row],[Labor Cost]:[Other Cost]])</f>
        <v>13778.66301757335</v>
      </c>
      <c r="I114" s="3">
        <f>SUMIFS(schedule[Revenue per Day], schedule[Start Date],"&lt;="&amp;day_cash_behind[[#This Row],[Date]]-$I$2, schedule[Finish Date],"&gt;="&amp;day_cash_behind[[#This Row],[Date]]-$I$2)</f>
        <v>3771.4629477713975</v>
      </c>
      <c r="J114" s="3">
        <f>SUM(day_cash_behind[[#Headers],[Labor Cost]]:day_cash_behind[[#This Row],[Labor Cost]])</f>
        <v>447070.15678979468</v>
      </c>
      <c r="K114" s="3">
        <f>SUM(day_cash_behind[[#Headers],[Material Cost]]:day_cash_behind[[#This Row],[Material Cost]])</f>
        <v>80401.162790697636</v>
      </c>
      <c r="L114" s="3">
        <f>SUM(day_cash_behind[[#Headers],[Equipment Cost]]:day_cash_behind[[#This Row],[Equipment Cost]])</f>
        <v>43320.754716981086</v>
      </c>
      <c r="M114" s="3">
        <f>SUM(day_cash_behind[[#Headers],[Sub Cost]]:day_cash_behind[[#This Row],[Sub Cost]])</f>
        <v>90000.000000000015</v>
      </c>
      <c r="N114" s="3">
        <f>SUM(day_cash_behind[[#Headers],[Other Cost]]:day_cash_behind[[#This Row],[Other Cost]])</f>
        <v>32713.836477987374</v>
      </c>
      <c r="O114" s="3">
        <f>SUM(day_cash_behind[[#This Row],[Cumulative Labor]:[Cumulative Other]])</f>
        <v>693505.91077546077</v>
      </c>
      <c r="P114" s="3">
        <f>SUM(day_cash_behind[[#Headers],[Revenue]]:day_cash_behind[[#This Row],[Revenue]])</f>
        <v>50685.304894722452</v>
      </c>
    </row>
    <row r="115" spans="2:16" x14ac:dyDescent="0.45">
      <c r="B115" s="1">
        <v>46498</v>
      </c>
      <c r="C115" s="4">
        <f>SUMIFS(schedule[Labor CPP], schedule[Start Date],"&lt;="&amp;day_cash_behind[[#This Row],[Date]], schedule[Finish Date],"&gt;="&amp;day_cash_behind[[#This Row],[Date]])</f>
        <v>2844.8046771193194</v>
      </c>
      <c r="D115" s="4">
        <f>SUMIFS(schedule[Material CPP], schedule[Start Date],"&lt;="&amp;day_cash_behind[[#This Row],[Date]]-$D$2, schedule[Finish Date],"&gt;="&amp;day_cash_behind[[#This Row],[Date]]-$D$2)</f>
        <v>4910.8527131782939</v>
      </c>
      <c r="E115" s="4">
        <f>SUMIFS(schedule[Equipment CPP], schedule[Start Date],"&lt;="&amp;day_cash_behind[[#This Row],[Date]]-$E$2, schedule[Finish Date],"&gt;="&amp;day_cash_behind[[#This Row],[Date]]-$E$2)</f>
        <v>971.69811320754718</v>
      </c>
      <c r="F115" s="4">
        <f>SUMIFS(schedule[Sub CPP], schedule[Start Date],"&lt;="&amp;day_cash_behind[[#This Row],[Date]]-$F$2, schedule[Finish Date],"&gt;="&amp;day_cash_behind[[#This Row],[Date]]-$F$2)</f>
        <v>0</v>
      </c>
      <c r="G115" s="3">
        <f>SUMIFS(schedule[Other CPP], schedule[Start Date],"&lt;="&amp;day_cash_behind[[#This Row],[Date]]-$G$2, schedule[Finish Date],"&gt;="&amp;day_cash_behind[[#This Row],[Date]]-$G$2)</f>
        <v>314.46540880503147</v>
      </c>
      <c r="H115" s="3">
        <f>SUM(day_cash_behind[[#This Row],[Labor Cost]:[Other Cost]])</f>
        <v>9041.8209123101933</v>
      </c>
      <c r="I115" s="3">
        <f>SUMIFS(schedule[Revenue per Day], schedule[Start Date],"&lt;="&amp;day_cash_behind[[#This Row],[Date]]-$I$2, schedule[Finish Date],"&gt;="&amp;day_cash_behind[[#This Row],[Date]]-$I$2)</f>
        <v>3771.4629477713975</v>
      </c>
      <c r="J115" s="3">
        <f>SUM(day_cash_behind[[#Headers],[Labor Cost]]:day_cash_behind[[#This Row],[Labor Cost]])</f>
        <v>449914.96146691398</v>
      </c>
      <c r="K115" s="3">
        <f>SUM(day_cash_behind[[#Headers],[Material Cost]]:day_cash_behind[[#This Row],[Material Cost]])</f>
        <v>85312.015503875926</v>
      </c>
      <c r="L115" s="3">
        <f>SUM(day_cash_behind[[#Headers],[Equipment Cost]]:day_cash_behind[[#This Row],[Equipment Cost]])</f>
        <v>44292.452830188631</v>
      </c>
      <c r="M115" s="3">
        <f>SUM(day_cash_behind[[#Headers],[Sub Cost]]:day_cash_behind[[#This Row],[Sub Cost]])</f>
        <v>90000.000000000015</v>
      </c>
      <c r="N115" s="3">
        <f>SUM(day_cash_behind[[#Headers],[Other Cost]]:day_cash_behind[[#This Row],[Other Cost]])</f>
        <v>33028.301886792404</v>
      </c>
      <c r="O115" s="3">
        <f>SUM(day_cash_behind[[#This Row],[Cumulative Labor]:[Cumulative Other]])</f>
        <v>702547.73168777104</v>
      </c>
      <c r="P115" s="3">
        <f>SUM(day_cash_behind[[#Headers],[Revenue]]:day_cash_behind[[#This Row],[Revenue]])</f>
        <v>54456.767842493849</v>
      </c>
    </row>
    <row r="116" spans="2:16" x14ac:dyDescent="0.45">
      <c r="B116" s="1">
        <v>46499</v>
      </c>
      <c r="C116" s="4">
        <f>SUMIFS(schedule[Labor CPP], schedule[Start Date],"&lt;="&amp;day_cash_behind[[#This Row],[Date]], schedule[Finish Date],"&gt;="&amp;day_cash_behind[[#This Row],[Date]])</f>
        <v>2844.8046771193194</v>
      </c>
      <c r="D116" s="4">
        <f>SUMIFS(schedule[Material CPP], schedule[Start Date],"&lt;="&amp;day_cash_behind[[#This Row],[Date]]-$D$2, schedule[Finish Date],"&gt;="&amp;day_cash_behind[[#This Row],[Date]]-$D$2)</f>
        <v>4910.8527131782939</v>
      </c>
      <c r="E116" s="4">
        <f>SUMIFS(schedule[Equipment CPP], schedule[Start Date],"&lt;="&amp;day_cash_behind[[#This Row],[Date]]-$E$2, schedule[Finish Date],"&gt;="&amp;day_cash_behind[[#This Row],[Date]]-$E$2)</f>
        <v>971.69811320754718</v>
      </c>
      <c r="F116" s="4">
        <f>SUMIFS(schedule[Sub CPP], schedule[Start Date],"&lt;="&amp;day_cash_behind[[#This Row],[Date]]-$F$2, schedule[Finish Date],"&gt;="&amp;day_cash_behind[[#This Row],[Date]]-$F$2)</f>
        <v>0</v>
      </c>
      <c r="G116" s="3">
        <f>SUMIFS(schedule[Other CPP], schedule[Start Date],"&lt;="&amp;day_cash_behind[[#This Row],[Date]]-$G$2, schedule[Finish Date],"&gt;="&amp;day_cash_behind[[#This Row],[Date]]-$G$2)</f>
        <v>314.46540880503147</v>
      </c>
      <c r="H116" s="3">
        <f>SUM(day_cash_behind[[#This Row],[Labor Cost]:[Other Cost]])</f>
        <v>9041.8209123101933</v>
      </c>
      <c r="I116" s="3">
        <f>SUMIFS(schedule[Revenue per Day], schedule[Start Date],"&lt;="&amp;day_cash_behind[[#This Row],[Date]]-$I$2, schedule[Finish Date],"&gt;="&amp;day_cash_behind[[#This Row],[Date]]-$I$2)</f>
        <v>3771.4629477713975</v>
      </c>
      <c r="J116" s="3">
        <f>SUM(day_cash_behind[[#Headers],[Labor Cost]]:day_cash_behind[[#This Row],[Labor Cost]])</f>
        <v>452759.76614403329</v>
      </c>
      <c r="K116" s="3">
        <f>SUM(day_cash_behind[[#Headers],[Material Cost]]:day_cash_behind[[#This Row],[Material Cost]])</f>
        <v>90222.868217054216</v>
      </c>
      <c r="L116" s="3">
        <f>SUM(day_cash_behind[[#Headers],[Equipment Cost]]:day_cash_behind[[#This Row],[Equipment Cost]])</f>
        <v>45264.150943396176</v>
      </c>
      <c r="M116" s="3">
        <f>SUM(day_cash_behind[[#Headers],[Sub Cost]]:day_cash_behind[[#This Row],[Sub Cost]])</f>
        <v>90000.000000000015</v>
      </c>
      <c r="N116" s="3">
        <f>SUM(day_cash_behind[[#Headers],[Other Cost]]:day_cash_behind[[#This Row],[Other Cost]])</f>
        <v>33342.767295597434</v>
      </c>
      <c r="O116" s="3">
        <f>SUM(day_cash_behind[[#This Row],[Cumulative Labor]:[Cumulative Other]])</f>
        <v>711589.55260008108</v>
      </c>
      <c r="P116" s="3">
        <f>SUM(day_cash_behind[[#Headers],[Revenue]]:day_cash_behind[[#This Row],[Revenue]])</f>
        <v>58228.230790265246</v>
      </c>
    </row>
    <row r="117" spans="2:16" x14ac:dyDescent="0.45">
      <c r="B117" s="1">
        <v>46500</v>
      </c>
      <c r="C117" s="4">
        <f>SUMIFS(schedule[Labor CPP], schedule[Start Date],"&lt;="&amp;day_cash_behind[[#This Row],[Date]], schedule[Finish Date],"&gt;="&amp;day_cash_behind[[#This Row],[Date]])</f>
        <v>2844.8046771193194</v>
      </c>
      <c r="D117" s="4">
        <f>SUMIFS(schedule[Material CPP], schedule[Start Date],"&lt;="&amp;day_cash_behind[[#This Row],[Date]]-$D$2, schedule[Finish Date],"&gt;="&amp;day_cash_behind[[#This Row],[Date]]-$D$2)</f>
        <v>4910.8527131782939</v>
      </c>
      <c r="E117" s="4">
        <f>SUMIFS(schedule[Equipment CPP], schedule[Start Date],"&lt;="&amp;day_cash_behind[[#This Row],[Date]]-$E$2, schedule[Finish Date],"&gt;="&amp;day_cash_behind[[#This Row],[Date]]-$E$2)</f>
        <v>971.69811320754718</v>
      </c>
      <c r="F117" s="4">
        <f>SUMIFS(schedule[Sub CPP], schedule[Start Date],"&lt;="&amp;day_cash_behind[[#This Row],[Date]]-$F$2, schedule[Finish Date],"&gt;="&amp;day_cash_behind[[#This Row],[Date]]-$F$2)</f>
        <v>0</v>
      </c>
      <c r="G117" s="3">
        <f>SUMIFS(schedule[Other CPP], schedule[Start Date],"&lt;="&amp;day_cash_behind[[#This Row],[Date]]-$G$2, schedule[Finish Date],"&gt;="&amp;day_cash_behind[[#This Row],[Date]]-$G$2)</f>
        <v>314.46540880503147</v>
      </c>
      <c r="H117" s="3">
        <f>SUM(day_cash_behind[[#This Row],[Labor Cost]:[Other Cost]])</f>
        <v>9041.8209123101933</v>
      </c>
      <c r="I117" s="3">
        <f>SUMIFS(schedule[Revenue per Day], schedule[Start Date],"&lt;="&amp;day_cash_behind[[#This Row],[Date]]-$I$2, schedule[Finish Date],"&gt;="&amp;day_cash_behind[[#This Row],[Date]]-$I$2)</f>
        <v>3771.4629477713975</v>
      </c>
      <c r="J117" s="3">
        <f>SUM(day_cash_behind[[#Headers],[Labor Cost]]:day_cash_behind[[#This Row],[Labor Cost]])</f>
        <v>455604.57082115259</v>
      </c>
      <c r="K117" s="3">
        <f>SUM(day_cash_behind[[#Headers],[Material Cost]]:day_cash_behind[[#This Row],[Material Cost]])</f>
        <v>95133.720930232506</v>
      </c>
      <c r="L117" s="3">
        <f>SUM(day_cash_behind[[#Headers],[Equipment Cost]]:day_cash_behind[[#This Row],[Equipment Cost]])</f>
        <v>46235.849056603722</v>
      </c>
      <c r="M117" s="3">
        <f>SUM(day_cash_behind[[#Headers],[Sub Cost]]:day_cash_behind[[#This Row],[Sub Cost]])</f>
        <v>90000.000000000015</v>
      </c>
      <c r="N117" s="3">
        <f>SUM(day_cash_behind[[#Headers],[Other Cost]]:day_cash_behind[[#This Row],[Other Cost]])</f>
        <v>33657.232704402464</v>
      </c>
      <c r="O117" s="3">
        <f>SUM(day_cash_behind[[#This Row],[Cumulative Labor]:[Cumulative Other]])</f>
        <v>720631.37351239123</v>
      </c>
      <c r="P117" s="3">
        <f>SUM(day_cash_behind[[#Headers],[Revenue]]:day_cash_behind[[#This Row],[Revenue]])</f>
        <v>61999.693738036643</v>
      </c>
    </row>
    <row r="118" spans="2:16" x14ac:dyDescent="0.45">
      <c r="B118" s="1">
        <v>46501</v>
      </c>
      <c r="C118" s="4">
        <f>SUMIFS(schedule[Labor CPP], schedule[Start Date],"&lt;="&amp;day_cash_behind[[#This Row],[Date]], schedule[Finish Date],"&gt;="&amp;day_cash_behind[[#This Row],[Date]])</f>
        <v>2844.8046771193194</v>
      </c>
      <c r="D118" s="4">
        <f>SUMIFS(schedule[Material CPP], schedule[Start Date],"&lt;="&amp;day_cash_behind[[#This Row],[Date]]-$D$2, schedule[Finish Date],"&gt;="&amp;day_cash_behind[[#This Row],[Date]]-$D$2)</f>
        <v>4910.8527131782939</v>
      </c>
      <c r="E118" s="4">
        <f>SUMIFS(schedule[Equipment CPP], schedule[Start Date],"&lt;="&amp;day_cash_behind[[#This Row],[Date]]-$E$2, schedule[Finish Date],"&gt;="&amp;day_cash_behind[[#This Row],[Date]]-$E$2)</f>
        <v>971.69811320754718</v>
      </c>
      <c r="F118" s="4">
        <f>SUMIFS(schedule[Sub CPP], schedule[Start Date],"&lt;="&amp;day_cash_behind[[#This Row],[Date]]-$F$2, schedule[Finish Date],"&gt;="&amp;day_cash_behind[[#This Row],[Date]]-$F$2)</f>
        <v>0</v>
      </c>
      <c r="G118" s="3">
        <f>SUMIFS(schedule[Other CPP], schedule[Start Date],"&lt;="&amp;day_cash_behind[[#This Row],[Date]]-$G$2, schedule[Finish Date],"&gt;="&amp;day_cash_behind[[#This Row],[Date]]-$G$2)</f>
        <v>314.46540880503147</v>
      </c>
      <c r="H118" s="3">
        <f>SUM(day_cash_behind[[#This Row],[Labor Cost]:[Other Cost]])</f>
        <v>9041.8209123101933</v>
      </c>
      <c r="I118" s="3">
        <f>SUMIFS(schedule[Revenue per Day], schedule[Start Date],"&lt;="&amp;day_cash_behind[[#This Row],[Date]]-$I$2, schedule[Finish Date],"&gt;="&amp;day_cash_behind[[#This Row],[Date]]-$I$2)</f>
        <v>3771.4629477713975</v>
      </c>
      <c r="J118" s="3">
        <f>SUM(day_cash_behind[[#Headers],[Labor Cost]]:day_cash_behind[[#This Row],[Labor Cost]])</f>
        <v>458449.3754982719</v>
      </c>
      <c r="K118" s="3">
        <f>SUM(day_cash_behind[[#Headers],[Material Cost]]:day_cash_behind[[#This Row],[Material Cost]])</f>
        <v>100044.5736434108</v>
      </c>
      <c r="L118" s="3">
        <f>SUM(day_cash_behind[[#Headers],[Equipment Cost]]:day_cash_behind[[#This Row],[Equipment Cost]])</f>
        <v>47207.547169811267</v>
      </c>
      <c r="M118" s="3">
        <f>SUM(day_cash_behind[[#Headers],[Sub Cost]]:day_cash_behind[[#This Row],[Sub Cost]])</f>
        <v>90000.000000000015</v>
      </c>
      <c r="N118" s="3">
        <f>SUM(day_cash_behind[[#Headers],[Other Cost]]:day_cash_behind[[#This Row],[Other Cost]])</f>
        <v>33971.698113207494</v>
      </c>
      <c r="O118" s="3">
        <f>SUM(day_cash_behind[[#This Row],[Cumulative Labor]:[Cumulative Other]])</f>
        <v>729673.19442470139</v>
      </c>
      <c r="P118" s="3">
        <f>SUM(day_cash_behind[[#Headers],[Revenue]]:day_cash_behind[[#This Row],[Revenue]])</f>
        <v>65771.156685808048</v>
      </c>
    </row>
    <row r="119" spans="2:16" x14ac:dyDescent="0.45">
      <c r="B119" s="1">
        <v>46502</v>
      </c>
      <c r="C119" s="4">
        <f>SUMIFS(schedule[Labor CPP], schedule[Start Date],"&lt;="&amp;day_cash_behind[[#This Row],[Date]], schedule[Finish Date],"&gt;="&amp;day_cash_behind[[#This Row],[Date]])</f>
        <v>2844.8046771193194</v>
      </c>
      <c r="D119" s="4">
        <f>SUMIFS(schedule[Material CPP], schedule[Start Date],"&lt;="&amp;day_cash_behind[[#This Row],[Date]]-$D$2, schedule[Finish Date],"&gt;="&amp;day_cash_behind[[#This Row],[Date]]-$D$2)</f>
        <v>4910.8527131782939</v>
      </c>
      <c r="E119" s="4">
        <f>SUMIFS(schedule[Equipment CPP], schedule[Start Date],"&lt;="&amp;day_cash_behind[[#This Row],[Date]]-$E$2, schedule[Finish Date],"&gt;="&amp;day_cash_behind[[#This Row],[Date]]-$E$2)</f>
        <v>971.69811320754718</v>
      </c>
      <c r="F119" s="4">
        <f>SUMIFS(schedule[Sub CPP], schedule[Start Date],"&lt;="&amp;day_cash_behind[[#This Row],[Date]]-$F$2, schedule[Finish Date],"&gt;="&amp;day_cash_behind[[#This Row],[Date]]-$F$2)</f>
        <v>0</v>
      </c>
      <c r="G119" s="3">
        <f>SUMIFS(schedule[Other CPP], schedule[Start Date],"&lt;="&amp;day_cash_behind[[#This Row],[Date]]-$G$2, schedule[Finish Date],"&gt;="&amp;day_cash_behind[[#This Row],[Date]]-$G$2)</f>
        <v>314.46540880503147</v>
      </c>
      <c r="H119" s="3">
        <f>SUM(day_cash_behind[[#This Row],[Labor Cost]:[Other Cost]])</f>
        <v>9041.8209123101933</v>
      </c>
      <c r="I119" s="3">
        <f>SUMIFS(schedule[Revenue per Day], schedule[Start Date],"&lt;="&amp;day_cash_behind[[#This Row],[Date]]-$I$2, schedule[Finish Date],"&gt;="&amp;day_cash_behind[[#This Row],[Date]]-$I$2)</f>
        <v>3771.4629477713975</v>
      </c>
      <c r="J119" s="3">
        <f>SUM(day_cash_behind[[#Headers],[Labor Cost]]:day_cash_behind[[#This Row],[Labor Cost]])</f>
        <v>461294.1801753912</v>
      </c>
      <c r="K119" s="3">
        <f>SUM(day_cash_behind[[#Headers],[Material Cost]]:day_cash_behind[[#This Row],[Material Cost]])</f>
        <v>104955.42635658909</v>
      </c>
      <c r="L119" s="3">
        <f>SUM(day_cash_behind[[#Headers],[Equipment Cost]]:day_cash_behind[[#This Row],[Equipment Cost]])</f>
        <v>48179.245283018812</v>
      </c>
      <c r="M119" s="3">
        <f>SUM(day_cash_behind[[#Headers],[Sub Cost]]:day_cash_behind[[#This Row],[Sub Cost]])</f>
        <v>90000.000000000015</v>
      </c>
      <c r="N119" s="3">
        <f>SUM(day_cash_behind[[#Headers],[Other Cost]]:day_cash_behind[[#This Row],[Other Cost]])</f>
        <v>34286.163522012524</v>
      </c>
      <c r="O119" s="3">
        <f>SUM(day_cash_behind[[#This Row],[Cumulative Labor]:[Cumulative Other]])</f>
        <v>738715.01533701166</v>
      </c>
      <c r="P119" s="3">
        <f>SUM(day_cash_behind[[#Headers],[Revenue]]:day_cash_behind[[#This Row],[Revenue]])</f>
        <v>69542.619633579452</v>
      </c>
    </row>
    <row r="120" spans="2:16" x14ac:dyDescent="0.45">
      <c r="B120" s="1">
        <v>46503</v>
      </c>
      <c r="C120" s="4">
        <f>SUMIFS(schedule[Labor CPP], schedule[Start Date],"&lt;="&amp;day_cash_behind[[#This Row],[Date]], schedule[Finish Date],"&gt;="&amp;day_cash_behind[[#This Row],[Date]])</f>
        <v>2844.8046771193194</v>
      </c>
      <c r="D120" s="4">
        <f>SUMIFS(schedule[Material CPP], schedule[Start Date],"&lt;="&amp;day_cash_behind[[#This Row],[Date]]-$D$2, schedule[Finish Date],"&gt;="&amp;day_cash_behind[[#This Row],[Date]]-$D$2)</f>
        <v>4910.8527131782939</v>
      </c>
      <c r="E120" s="4">
        <f>SUMIFS(schedule[Equipment CPP], schedule[Start Date],"&lt;="&amp;day_cash_behind[[#This Row],[Date]]-$E$2, schedule[Finish Date],"&gt;="&amp;day_cash_behind[[#This Row],[Date]]-$E$2)</f>
        <v>971.69811320754718</v>
      </c>
      <c r="F120" s="4">
        <f>SUMIFS(schedule[Sub CPP], schedule[Start Date],"&lt;="&amp;day_cash_behind[[#This Row],[Date]]-$F$2, schedule[Finish Date],"&gt;="&amp;day_cash_behind[[#This Row],[Date]]-$F$2)</f>
        <v>0</v>
      </c>
      <c r="G120" s="3">
        <f>SUMIFS(schedule[Other CPP], schedule[Start Date],"&lt;="&amp;day_cash_behind[[#This Row],[Date]]-$G$2, schedule[Finish Date],"&gt;="&amp;day_cash_behind[[#This Row],[Date]]-$G$2)</f>
        <v>314.46540880503147</v>
      </c>
      <c r="H120" s="3">
        <f>SUM(day_cash_behind[[#This Row],[Labor Cost]:[Other Cost]])</f>
        <v>9041.8209123101933</v>
      </c>
      <c r="I120" s="3">
        <f>SUMIFS(schedule[Revenue per Day], schedule[Start Date],"&lt;="&amp;day_cash_behind[[#This Row],[Date]]-$I$2, schedule[Finish Date],"&gt;="&amp;day_cash_behind[[#This Row],[Date]]-$I$2)</f>
        <v>3771.4629477713975</v>
      </c>
      <c r="J120" s="3">
        <f>SUM(day_cash_behind[[#Headers],[Labor Cost]]:day_cash_behind[[#This Row],[Labor Cost]])</f>
        <v>464138.9848525105</v>
      </c>
      <c r="K120" s="3">
        <f>SUM(day_cash_behind[[#Headers],[Material Cost]]:day_cash_behind[[#This Row],[Material Cost]])</f>
        <v>109866.27906976738</v>
      </c>
      <c r="L120" s="3">
        <f>SUM(day_cash_behind[[#Headers],[Equipment Cost]]:day_cash_behind[[#This Row],[Equipment Cost]])</f>
        <v>49150.943396226357</v>
      </c>
      <c r="M120" s="3">
        <f>SUM(day_cash_behind[[#Headers],[Sub Cost]]:day_cash_behind[[#This Row],[Sub Cost]])</f>
        <v>90000.000000000015</v>
      </c>
      <c r="N120" s="3">
        <f>SUM(day_cash_behind[[#Headers],[Other Cost]]:day_cash_behind[[#This Row],[Other Cost]])</f>
        <v>34600.628930817555</v>
      </c>
      <c r="O120" s="3">
        <f>SUM(day_cash_behind[[#This Row],[Cumulative Labor]:[Cumulative Other]])</f>
        <v>747756.83624932182</v>
      </c>
      <c r="P120" s="3">
        <f>SUM(day_cash_behind[[#Headers],[Revenue]]:day_cash_behind[[#This Row],[Revenue]])</f>
        <v>73314.082581350856</v>
      </c>
    </row>
    <row r="121" spans="2:16" x14ac:dyDescent="0.45">
      <c r="B121" s="1">
        <v>46504</v>
      </c>
      <c r="C121" s="4">
        <f>SUMIFS(schedule[Labor CPP], schedule[Start Date],"&lt;="&amp;day_cash_behind[[#This Row],[Date]], schedule[Finish Date],"&gt;="&amp;day_cash_behind[[#This Row],[Date]])</f>
        <v>2844.8046771193194</v>
      </c>
      <c r="D121" s="4">
        <f>SUMIFS(schedule[Material CPP], schedule[Start Date],"&lt;="&amp;day_cash_behind[[#This Row],[Date]]-$D$2, schedule[Finish Date],"&gt;="&amp;day_cash_behind[[#This Row],[Date]]-$D$2)</f>
        <v>4910.8527131782939</v>
      </c>
      <c r="E121" s="4">
        <f>SUMIFS(schedule[Equipment CPP], schedule[Start Date],"&lt;="&amp;day_cash_behind[[#This Row],[Date]]-$E$2, schedule[Finish Date],"&gt;="&amp;day_cash_behind[[#This Row],[Date]]-$E$2)</f>
        <v>971.69811320754718</v>
      </c>
      <c r="F121" s="4">
        <f>SUMIFS(schedule[Sub CPP], schedule[Start Date],"&lt;="&amp;day_cash_behind[[#This Row],[Date]]-$F$2, schedule[Finish Date],"&gt;="&amp;day_cash_behind[[#This Row],[Date]]-$F$2)</f>
        <v>0</v>
      </c>
      <c r="G121" s="3">
        <f>SUMIFS(schedule[Other CPP], schedule[Start Date],"&lt;="&amp;day_cash_behind[[#This Row],[Date]]-$G$2, schedule[Finish Date],"&gt;="&amp;day_cash_behind[[#This Row],[Date]]-$G$2)</f>
        <v>314.46540880503147</v>
      </c>
      <c r="H121" s="3">
        <f>SUM(day_cash_behind[[#This Row],[Labor Cost]:[Other Cost]])</f>
        <v>9041.8209123101933</v>
      </c>
      <c r="I121" s="3">
        <f>SUMIFS(schedule[Revenue per Day], schedule[Start Date],"&lt;="&amp;day_cash_behind[[#This Row],[Date]]-$I$2, schedule[Finish Date],"&gt;="&amp;day_cash_behind[[#This Row],[Date]]-$I$2)</f>
        <v>3771.4629477713975</v>
      </c>
      <c r="J121" s="3">
        <f>SUM(day_cash_behind[[#Headers],[Labor Cost]]:day_cash_behind[[#This Row],[Labor Cost]])</f>
        <v>466983.78952962981</v>
      </c>
      <c r="K121" s="3">
        <f>SUM(day_cash_behind[[#Headers],[Material Cost]]:day_cash_behind[[#This Row],[Material Cost]])</f>
        <v>114777.13178294567</v>
      </c>
      <c r="L121" s="3">
        <f>SUM(day_cash_behind[[#Headers],[Equipment Cost]]:day_cash_behind[[#This Row],[Equipment Cost]])</f>
        <v>50122.641509433903</v>
      </c>
      <c r="M121" s="3">
        <f>SUM(day_cash_behind[[#Headers],[Sub Cost]]:day_cash_behind[[#This Row],[Sub Cost]])</f>
        <v>90000.000000000015</v>
      </c>
      <c r="N121" s="3">
        <f>SUM(day_cash_behind[[#Headers],[Other Cost]]:day_cash_behind[[#This Row],[Other Cost]])</f>
        <v>34915.094339622585</v>
      </c>
      <c r="O121" s="3">
        <f>SUM(day_cash_behind[[#This Row],[Cumulative Labor]:[Cumulative Other]])</f>
        <v>756798.65716163185</v>
      </c>
      <c r="P121" s="3">
        <f>SUM(day_cash_behind[[#Headers],[Revenue]]:day_cash_behind[[#This Row],[Revenue]])</f>
        <v>77085.545529122261</v>
      </c>
    </row>
    <row r="122" spans="2:16" x14ac:dyDescent="0.45">
      <c r="B122" s="1">
        <v>46505</v>
      </c>
      <c r="C122" s="4">
        <f>SUMIFS(schedule[Labor CPP], schedule[Start Date],"&lt;="&amp;day_cash_behind[[#This Row],[Date]], schedule[Finish Date],"&gt;="&amp;day_cash_behind[[#This Row],[Date]])</f>
        <v>2844.8046771193194</v>
      </c>
      <c r="D122" s="4">
        <f>SUMIFS(schedule[Material CPP], schedule[Start Date],"&lt;="&amp;day_cash_behind[[#This Row],[Date]]-$D$2, schedule[Finish Date],"&gt;="&amp;day_cash_behind[[#This Row],[Date]]-$D$2)</f>
        <v>4910.8527131782939</v>
      </c>
      <c r="E122" s="4">
        <f>SUMIFS(schedule[Equipment CPP], schedule[Start Date],"&lt;="&amp;day_cash_behind[[#This Row],[Date]]-$E$2, schedule[Finish Date],"&gt;="&amp;day_cash_behind[[#This Row],[Date]]-$E$2)</f>
        <v>971.69811320754718</v>
      </c>
      <c r="F122" s="4">
        <f>SUMIFS(schedule[Sub CPP], schedule[Start Date],"&lt;="&amp;day_cash_behind[[#This Row],[Date]]-$F$2, schedule[Finish Date],"&gt;="&amp;day_cash_behind[[#This Row],[Date]]-$F$2)</f>
        <v>0</v>
      </c>
      <c r="G122" s="3">
        <f>SUMIFS(schedule[Other CPP], schedule[Start Date],"&lt;="&amp;day_cash_behind[[#This Row],[Date]]-$G$2, schedule[Finish Date],"&gt;="&amp;day_cash_behind[[#This Row],[Date]]-$G$2)</f>
        <v>314.46540880503147</v>
      </c>
      <c r="H122" s="3">
        <f>SUM(day_cash_behind[[#This Row],[Labor Cost]:[Other Cost]])</f>
        <v>9041.8209123101933</v>
      </c>
      <c r="I122" s="3">
        <f>SUMIFS(schedule[Revenue per Day], schedule[Start Date],"&lt;="&amp;day_cash_behind[[#This Row],[Date]]-$I$2, schedule[Finish Date],"&gt;="&amp;day_cash_behind[[#This Row],[Date]]-$I$2)</f>
        <v>3771.4629477713975</v>
      </c>
      <c r="J122" s="3">
        <f>SUM(day_cash_behind[[#Headers],[Labor Cost]]:day_cash_behind[[#This Row],[Labor Cost]])</f>
        <v>469828.59420674911</v>
      </c>
      <c r="K122" s="3">
        <f>SUM(day_cash_behind[[#Headers],[Material Cost]]:day_cash_behind[[#This Row],[Material Cost]])</f>
        <v>119687.98449612396</v>
      </c>
      <c r="L122" s="3">
        <f>SUM(day_cash_behind[[#Headers],[Equipment Cost]]:day_cash_behind[[#This Row],[Equipment Cost]])</f>
        <v>51094.339622641448</v>
      </c>
      <c r="M122" s="3">
        <f>SUM(day_cash_behind[[#Headers],[Sub Cost]]:day_cash_behind[[#This Row],[Sub Cost]])</f>
        <v>90000.000000000015</v>
      </c>
      <c r="N122" s="3">
        <f>SUM(day_cash_behind[[#Headers],[Other Cost]]:day_cash_behind[[#This Row],[Other Cost]])</f>
        <v>35229.559748427615</v>
      </c>
      <c r="O122" s="3">
        <f>SUM(day_cash_behind[[#This Row],[Cumulative Labor]:[Cumulative Other]])</f>
        <v>765840.47807394213</v>
      </c>
      <c r="P122" s="3">
        <f>SUM(day_cash_behind[[#Headers],[Revenue]]:day_cash_behind[[#This Row],[Revenue]])</f>
        <v>80857.008476893665</v>
      </c>
    </row>
    <row r="123" spans="2:16" x14ac:dyDescent="0.45">
      <c r="B123" s="1">
        <v>46506</v>
      </c>
      <c r="C123" s="4">
        <f>SUMIFS(schedule[Labor CPP], schedule[Start Date],"&lt;="&amp;day_cash_behind[[#This Row],[Date]], schedule[Finish Date],"&gt;="&amp;day_cash_behind[[#This Row],[Date]])</f>
        <v>2844.8046771193194</v>
      </c>
      <c r="D123" s="4">
        <f>SUMIFS(schedule[Material CPP], schedule[Start Date],"&lt;="&amp;day_cash_behind[[#This Row],[Date]]-$D$2, schedule[Finish Date],"&gt;="&amp;day_cash_behind[[#This Row],[Date]]-$D$2)</f>
        <v>4910.8527131782939</v>
      </c>
      <c r="E123" s="4">
        <f>SUMIFS(schedule[Equipment CPP], schedule[Start Date],"&lt;="&amp;day_cash_behind[[#This Row],[Date]]-$E$2, schedule[Finish Date],"&gt;="&amp;day_cash_behind[[#This Row],[Date]]-$E$2)</f>
        <v>971.69811320754718</v>
      </c>
      <c r="F123" s="4">
        <f>SUMIFS(schedule[Sub CPP], schedule[Start Date],"&lt;="&amp;day_cash_behind[[#This Row],[Date]]-$F$2, schedule[Finish Date],"&gt;="&amp;day_cash_behind[[#This Row],[Date]]-$F$2)</f>
        <v>0</v>
      </c>
      <c r="G123" s="3">
        <f>SUMIFS(schedule[Other CPP], schedule[Start Date],"&lt;="&amp;day_cash_behind[[#This Row],[Date]]-$G$2, schedule[Finish Date],"&gt;="&amp;day_cash_behind[[#This Row],[Date]]-$G$2)</f>
        <v>314.46540880503147</v>
      </c>
      <c r="H123" s="3">
        <f>SUM(day_cash_behind[[#This Row],[Labor Cost]:[Other Cost]])</f>
        <v>9041.8209123101933</v>
      </c>
      <c r="I123" s="3">
        <f>SUMIFS(schedule[Revenue per Day], schedule[Start Date],"&lt;="&amp;day_cash_behind[[#This Row],[Date]]-$I$2, schedule[Finish Date],"&gt;="&amp;day_cash_behind[[#This Row],[Date]]-$I$2)</f>
        <v>3771.4629477713975</v>
      </c>
      <c r="J123" s="3">
        <f>SUM(day_cash_behind[[#Headers],[Labor Cost]]:day_cash_behind[[#This Row],[Labor Cost]])</f>
        <v>472673.39888386842</v>
      </c>
      <c r="K123" s="3">
        <f>SUM(day_cash_behind[[#Headers],[Material Cost]]:day_cash_behind[[#This Row],[Material Cost]])</f>
        <v>124598.83720930225</v>
      </c>
      <c r="L123" s="3">
        <f>SUM(day_cash_behind[[#Headers],[Equipment Cost]]:day_cash_behind[[#This Row],[Equipment Cost]])</f>
        <v>52066.037735848993</v>
      </c>
      <c r="M123" s="3">
        <f>SUM(day_cash_behind[[#Headers],[Sub Cost]]:day_cash_behind[[#This Row],[Sub Cost]])</f>
        <v>90000.000000000015</v>
      </c>
      <c r="N123" s="3">
        <f>SUM(day_cash_behind[[#Headers],[Other Cost]]:day_cash_behind[[#This Row],[Other Cost]])</f>
        <v>35544.025157232645</v>
      </c>
      <c r="O123" s="3">
        <f>SUM(day_cash_behind[[#This Row],[Cumulative Labor]:[Cumulative Other]])</f>
        <v>774882.2989862524</v>
      </c>
      <c r="P123" s="3">
        <f>SUM(day_cash_behind[[#Headers],[Revenue]]:day_cash_behind[[#This Row],[Revenue]])</f>
        <v>84628.471424665069</v>
      </c>
    </row>
    <row r="124" spans="2:16" x14ac:dyDescent="0.45">
      <c r="B124" s="1">
        <v>46507</v>
      </c>
      <c r="C124" s="4">
        <f>SUMIFS(schedule[Labor CPP], schedule[Start Date],"&lt;="&amp;day_cash_behind[[#This Row],[Date]], schedule[Finish Date],"&gt;="&amp;day_cash_behind[[#This Row],[Date]])</f>
        <v>2844.8046771193194</v>
      </c>
      <c r="D124" s="4">
        <f>SUMIFS(schedule[Material CPP], schedule[Start Date],"&lt;="&amp;day_cash_behind[[#This Row],[Date]]-$D$2, schedule[Finish Date],"&gt;="&amp;day_cash_behind[[#This Row],[Date]]-$D$2)</f>
        <v>4910.8527131782939</v>
      </c>
      <c r="E124" s="4">
        <f>SUMIFS(schedule[Equipment CPP], schedule[Start Date],"&lt;="&amp;day_cash_behind[[#This Row],[Date]]-$E$2, schedule[Finish Date],"&gt;="&amp;day_cash_behind[[#This Row],[Date]]-$E$2)</f>
        <v>971.69811320754718</v>
      </c>
      <c r="F124" s="4">
        <f>SUMIFS(schedule[Sub CPP], schedule[Start Date],"&lt;="&amp;day_cash_behind[[#This Row],[Date]]-$F$2, schedule[Finish Date],"&gt;="&amp;day_cash_behind[[#This Row],[Date]]-$F$2)</f>
        <v>0</v>
      </c>
      <c r="G124" s="3">
        <f>SUMIFS(schedule[Other CPP], schedule[Start Date],"&lt;="&amp;day_cash_behind[[#This Row],[Date]]-$G$2, schedule[Finish Date],"&gt;="&amp;day_cash_behind[[#This Row],[Date]]-$G$2)</f>
        <v>314.46540880503147</v>
      </c>
      <c r="H124" s="3">
        <f>SUM(day_cash_behind[[#This Row],[Labor Cost]:[Other Cost]])</f>
        <v>9041.8209123101933</v>
      </c>
      <c r="I124" s="3">
        <f>SUMIFS(schedule[Revenue per Day], schedule[Start Date],"&lt;="&amp;day_cash_behind[[#This Row],[Date]]-$I$2, schedule[Finish Date],"&gt;="&amp;day_cash_behind[[#This Row],[Date]]-$I$2)</f>
        <v>3771.4629477713975</v>
      </c>
      <c r="J124" s="3">
        <f>SUM(day_cash_behind[[#Headers],[Labor Cost]]:day_cash_behind[[#This Row],[Labor Cost]])</f>
        <v>475518.20356098772</v>
      </c>
      <c r="K124" s="3">
        <f>SUM(day_cash_behind[[#Headers],[Material Cost]]:day_cash_behind[[#This Row],[Material Cost]])</f>
        <v>129509.68992248054</v>
      </c>
      <c r="L124" s="3">
        <f>SUM(day_cash_behind[[#Headers],[Equipment Cost]]:day_cash_behind[[#This Row],[Equipment Cost]])</f>
        <v>53037.735849056538</v>
      </c>
      <c r="M124" s="3">
        <f>SUM(day_cash_behind[[#Headers],[Sub Cost]]:day_cash_behind[[#This Row],[Sub Cost]])</f>
        <v>90000.000000000015</v>
      </c>
      <c r="N124" s="3">
        <f>SUM(day_cash_behind[[#Headers],[Other Cost]]:day_cash_behind[[#This Row],[Other Cost]])</f>
        <v>35858.490566037675</v>
      </c>
      <c r="O124" s="3">
        <f>SUM(day_cash_behind[[#This Row],[Cumulative Labor]:[Cumulative Other]])</f>
        <v>783924.11989856244</v>
      </c>
      <c r="P124" s="3">
        <f>SUM(day_cash_behind[[#Headers],[Revenue]]:day_cash_behind[[#This Row],[Revenue]])</f>
        <v>88399.934372436473</v>
      </c>
    </row>
    <row r="125" spans="2:16" x14ac:dyDescent="0.45">
      <c r="B125" s="1">
        <v>46508</v>
      </c>
      <c r="C125" s="4">
        <f>SUMIFS(schedule[Labor CPP], schedule[Start Date],"&lt;="&amp;day_cash_behind[[#This Row],[Date]], schedule[Finish Date],"&gt;="&amp;day_cash_behind[[#This Row],[Date]])</f>
        <v>2844.8046771193194</v>
      </c>
      <c r="D125" s="4">
        <f>SUMIFS(schedule[Material CPP], schedule[Start Date],"&lt;="&amp;day_cash_behind[[#This Row],[Date]]-$D$2, schedule[Finish Date],"&gt;="&amp;day_cash_behind[[#This Row],[Date]]-$D$2)</f>
        <v>4910.8527131782939</v>
      </c>
      <c r="E125" s="4">
        <f>SUMIFS(schedule[Equipment CPP], schedule[Start Date],"&lt;="&amp;day_cash_behind[[#This Row],[Date]]-$E$2, schedule[Finish Date],"&gt;="&amp;day_cash_behind[[#This Row],[Date]]-$E$2)</f>
        <v>971.69811320754718</v>
      </c>
      <c r="F125" s="4">
        <f>SUMIFS(schedule[Sub CPP], schedule[Start Date],"&lt;="&amp;day_cash_behind[[#This Row],[Date]]-$F$2, schedule[Finish Date],"&gt;="&amp;day_cash_behind[[#This Row],[Date]]-$F$2)</f>
        <v>0</v>
      </c>
      <c r="G125" s="3">
        <f>SUMIFS(schedule[Other CPP], schedule[Start Date],"&lt;="&amp;day_cash_behind[[#This Row],[Date]]-$G$2, schedule[Finish Date],"&gt;="&amp;day_cash_behind[[#This Row],[Date]]-$G$2)</f>
        <v>314.46540880503147</v>
      </c>
      <c r="H125" s="3">
        <f>SUM(day_cash_behind[[#This Row],[Labor Cost]:[Other Cost]])</f>
        <v>9041.8209123101933</v>
      </c>
      <c r="I125" s="3">
        <f>SUMIFS(schedule[Revenue per Day], schedule[Start Date],"&lt;="&amp;day_cash_behind[[#This Row],[Date]]-$I$2, schedule[Finish Date],"&gt;="&amp;day_cash_behind[[#This Row],[Date]]-$I$2)</f>
        <v>3771.4629477713975</v>
      </c>
      <c r="J125" s="3">
        <f>SUM(day_cash_behind[[#Headers],[Labor Cost]]:day_cash_behind[[#This Row],[Labor Cost]])</f>
        <v>478363.00823810702</v>
      </c>
      <c r="K125" s="3">
        <f>SUM(day_cash_behind[[#Headers],[Material Cost]]:day_cash_behind[[#This Row],[Material Cost]])</f>
        <v>134420.54263565884</v>
      </c>
      <c r="L125" s="3">
        <f>SUM(day_cash_behind[[#Headers],[Equipment Cost]]:day_cash_behind[[#This Row],[Equipment Cost]])</f>
        <v>54009.433962264084</v>
      </c>
      <c r="M125" s="3">
        <f>SUM(day_cash_behind[[#Headers],[Sub Cost]]:day_cash_behind[[#This Row],[Sub Cost]])</f>
        <v>90000.000000000015</v>
      </c>
      <c r="N125" s="3">
        <f>SUM(day_cash_behind[[#Headers],[Other Cost]]:day_cash_behind[[#This Row],[Other Cost]])</f>
        <v>36172.955974842705</v>
      </c>
      <c r="O125" s="3">
        <f>SUM(day_cash_behind[[#This Row],[Cumulative Labor]:[Cumulative Other]])</f>
        <v>792965.94081087259</v>
      </c>
      <c r="P125" s="3">
        <f>SUM(day_cash_behind[[#Headers],[Revenue]]:day_cash_behind[[#This Row],[Revenue]])</f>
        <v>92171.397320207878</v>
      </c>
    </row>
    <row r="126" spans="2:16" x14ac:dyDescent="0.45">
      <c r="B126" s="1">
        <v>46509</v>
      </c>
      <c r="C126" s="4">
        <f>SUMIFS(schedule[Labor CPP], schedule[Start Date],"&lt;="&amp;day_cash_behind[[#This Row],[Date]], schedule[Finish Date],"&gt;="&amp;day_cash_behind[[#This Row],[Date]])</f>
        <v>2844.8046771193194</v>
      </c>
      <c r="D126" s="4">
        <f>SUMIFS(schedule[Material CPP], schedule[Start Date],"&lt;="&amp;day_cash_behind[[#This Row],[Date]]-$D$2, schedule[Finish Date],"&gt;="&amp;day_cash_behind[[#This Row],[Date]]-$D$2)</f>
        <v>6284.0921497980125</v>
      </c>
      <c r="E126" s="4">
        <f>SUMIFS(schedule[Equipment CPP], schedule[Start Date],"&lt;="&amp;day_cash_behind[[#This Row],[Date]]-$E$2, schedule[Finish Date],"&gt;="&amp;day_cash_behind[[#This Row],[Date]]-$E$2)</f>
        <v>971.69811320754718</v>
      </c>
      <c r="F126" s="4">
        <f>SUMIFS(schedule[Sub CPP], schedule[Start Date],"&lt;="&amp;day_cash_behind[[#This Row],[Date]]-$F$2, schedule[Finish Date],"&gt;="&amp;day_cash_behind[[#This Row],[Date]]-$F$2)</f>
        <v>0</v>
      </c>
      <c r="G126" s="3">
        <f>SUMIFS(schedule[Other CPP], schedule[Start Date],"&lt;="&amp;day_cash_behind[[#This Row],[Date]]-$G$2, schedule[Finish Date],"&gt;="&amp;day_cash_behind[[#This Row],[Date]]-$G$2)</f>
        <v>314.46540880503147</v>
      </c>
      <c r="H126" s="3">
        <f>SUM(day_cash_behind[[#This Row],[Labor Cost]:[Other Cost]])</f>
        <v>10415.06034892991</v>
      </c>
      <c r="I126" s="3">
        <f>SUMIFS(schedule[Revenue per Day], schedule[Start Date],"&lt;="&amp;day_cash_behind[[#This Row],[Date]]-$I$2, schedule[Finish Date],"&gt;="&amp;day_cash_behind[[#This Row],[Date]]-$I$2)</f>
        <v>9645.1471582977138</v>
      </c>
      <c r="J126" s="3">
        <f>SUM(day_cash_behind[[#Headers],[Labor Cost]]:day_cash_behind[[#This Row],[Labor Cost]])</f>
        <v>481207.81291522633</v>
      </c>
      <c r="K126" s="3">
        <f>SUM(day_cash_behind[[#Headers],[Material Cost]]:day_cash_behind[[#This Row],[Material Cost]])</f>
        <v>140704.63478545684</v>
      </c>
      <c r="L126" s="3">
        <f>SUM(day_cash_behind[[#Headers],[Equipment Cost]]:day_cash_behind[[#This Row],[Equipment Cost]])</f>
        <v>54981.132075471629</v>
      </c>
      <c r="M126" s="3">
        <f>SUM(day_cash_behind[[#Headers],[Sub Cost]]:day_cash_behind[[#This Row],[Sub Cost]])</f>
        <v>90000.000000000015</v>
      </c>
      <c r="N126" s="3">
        <f>SUM(day_cash_behind[[#Headers],[Other Cost]]:day_cash_behind[[#This Row],[Other Cost]])</f>
        <v>36487.421383647736</v>
      </c>
      <c r="O126" s="3">
        <f>SUM(day_cash_behind[[#This Row],[Cumulative Labor]:[Cumulative Other]])</f>
        <v>803381.00115980254</v>
      </c>
      <c r="P126" s="3">
        <f>SUM(day_cash_behind[[#Headers],[Revenue]]:day_cash_behind[[#This Row],[Revenue]])</f>
        <v>101816.54447850559</v>
      </c>
    </row>
    <row r="127" spans="2:16" x14ac:dyDescent="0.45">
      <c r="B127" s="1">
        <v>46510</v>
      </c>
      <c r="C127" s="4">
        <f>SUMIFS(schedule[Labor CPP], schedule[Start Date],"&lt;="&amp;day_cash_behind[[#This Row],[Date]], schedule[Finish Date],"&gt;="&amp;day_cash_behind[[#This Row],[Date]])</f>
        <v>2844.8046771193194</v>
      </c>
      <c r="D127" s="4">
        <f>SUMIFS(schedule[Material CPP], schedule[Start Date],"&lt;="&amp;day_cash_behind[[#This Row],[Date]]-$D$2, schedule[Finish Date],"&gt;="&amp;day_cash_behind[[#This Row],[Date]]-$D$2)</f>
        <v>3117.4254831313465</v>
      </c>
      <c r="E127" s="4">
        <f>SUMIFS(schedule[Equipment CPP], schedule[Start Date],"&lt;="&amp;day_cash_behind[[#This Row],[Date]]-$E$2, schedule[Finish Date],"&gt;="&amp;day_cash_behind[[#This Row],[Date]]-$E$2)</f>
        <v>471.69811320754718</v>
      </c>
      <c r="F127" s="4">
        <f>SUMIFS(schedule[Sub CPP], schedule[Start Date],"&lt;="&amp;day_cash_behind[[#This Row],[Date]]-$F$2, schedule[Finish Date],"&gt;="&amp;day_cash_behind[[#This Row],[Date]]-$F$2)</f>
        <v>0</v>
      </c>
      <c r="G127" s="3">
        <f>SUMIFS(schedule[Other CPP], schedule[Start Date],"&lt;="&amp;day_cash_behind[[#This Row],[Date]]-$G$2, schedule[Finish Date],"&gt;="&amp;day_cash_behind[[#This Row],[Date]]-$G$2)</f>
        <v>314.46540880503147</v>
      </c>
      <c r="H127" s="3">
        <f>SUM(day_cash_behind[[#This Row],[Labor Cost]:[Other Cost]])</f>
        <v>6748.393682263244</v>
      </c>
      <c r="I127" s="3">
        <f>SUMIFS(schedule[Revenue per Day], schedule[Start Date],"&lt;="&amp;day_cash_behind[[#This Row],[Date]]-$I$2, schedule[Finish Date],"&gt;="&amp;day_cash_behind[[#This Row],[Date]]-$I$2)</f>
        <v>9645.1471582977138</v>
      </c>
      <c r="J127" s="3">
        <f>SUM(day_cash_behind[[#Headers],[Labor Cost]]:day_cash_behind[[#This Row],[Labor Cost]])</f>
        <v>484052.61759234563</v>
      </c>
      <c r="K127" s="3">
        <f>SUM(day_cash_behind[[#Headers],[Material Cost]]:day_cash_behind[[#This Row],[Material Cost]])</f>
        <v>143822.06026858819</v>
      </c>
      <c r="L127" s="3">
        <f>SUM(day_cash_behind[[#Headers],[Equipment Cost]]:day_cash_behind[[#This Row],[Equipment Cost]])</f>
        <v>55452.830188679174</v>
      </c>
      <c r="M127" s="3">
        <f>SUM(day_cash_behind[[#Headers],[Sub Cost]]:day_cash_behind[[#This Row],[Sub Cost]])</f>
        <v>90000.000000000015</v>
      </c>
      <c r="N127" s="3">
        <f>SUM(day_cash_behind[[#Headers],[Other Cost]]:day_cash_behind[[#This Row],[Other Cost]])</f>
        <v>36801.886792452766</v>
      </c>
      <c r="O127" s="3">
        <f>SUM(day_cash_behind[[#This Row],[Cumulative Labor]:[Cumulative Other]])</f>
        <v>810129.39484206575</v>
      </c>
      <c r="P127" s="3">
        <f>SUM(day_cash_behind[[#Headers],[Revenue]]:day_cash_behind[[#This Row],[Revenue]])</f>
        <v>111461.6916368033</v>
      </c>
    </row>
    <row r="128" spans="2:16" x14ac:dyDescent="0.45">
      <c r="B128" s="1">
        <v>46511</v>
      </c>
      <c r="C128" s="4">
        <f>SUMIFS(schedule[Labor CPP], schedule[Start Date],"&lt;="&amp;day_cash_behind[[#This Row],[Date]], schedule[Finish Date],"&gt;="&amp;day_cash_behind[[#This Row],[Date]])</f>
        <v>2844.8046771193194</v>
      </c>
      <c r="D128" s="4">
        <f>SUMIFS(schedule[Material CPP], schedule[Start Date],"&lt;="&amp;day_cash_behind[[#This Row],[Date]]-$D$2, schedule[Finish Date],"&gt;="&amp;day_cash_behind[[#This Row],[Date]]-$D$2)</f>
        <v>3117.4254831313465</v>
      </c>
      <c r="E128" s="4">
        <f>SUMIFS(schedule[Equipment CPP], schedule[Start Date],"&lt;="&amp;day_cash_behind[[#This Row],[Date]]-$E$2, schedule[Finish Date],"&gt;="&amp;day_cash_behind[[#This Row],[Date]]-$E$2)</f>
        <v>471.69811320754718</v>
      </c>
      <c r="F128" s="4">
        <f>SUMIFS(schedule[Sub CPP], schedule[Start Date],"&lt;="&amp;day_cash_behind[[#This Row],[Date]]-$F$2, schedule[Finish Date],"&gt;="&amp;day_cash_behind[[#This Row],[Date]]-$F$2)</f>
        <v>0</v>
      </c>
      <c r="G128" s="3">
        <f>SUMIFS(schedule[Other CPP], schedule[Start Date],"&lt;="&amp;day_cash_behind[[#This Row],[Date]]-$G$2, schedule[Finish Date],"&gt;="&amp;day_cash_behind[[#This Row],[Date]]-$G$2)</f>
        <v>314.46540880503147</v>
      </c>
      <c r="H128" s="3">
        <f>SUM(day_cash_behind[[#This Row],[Labor Cost]:[Other Cost]])</f>
        <v>6748.393682263244</v>
      </c>
      <c r="I128" s="3">
        <f>SUMIFS(schedule[Revenue per Day], schedule[Start Date],"&lt;="&amp;day_cash_behind[[#This Row],[Date]]-$I$2, schedule[Finish Date],"&gt;="&amp;day_cash_behind[[#This Row],[Date]]-$I$2)</f>
        <v>9645.1471582977138</v>
      </c>
      <c r="J128" s="3">
        <f>SUM(day_cash_behind[[#Headers],[Labor Cost]]:day_cash_behind[[#This Row],[Labor Cost]])</f>
        <v>486897.42226946494</v>
      </c>
      <c r="K128" s="3">
        <f>SUM(day_cash_behind[[#Headers],[Material Cost]]:day_cash_behind[[#This Row],[Material Cost]])</f>
        <v>146939.48575171953</v>
      </c>
      <c r="L128" s="3">
        <f>SUM(day_cash_behind[[#Headers],[Equipment Cost]]:day_cash_behind[[#This Row],[Equipment Cost]])</f>
        <v>55924.528301886719</v>
      </c>
      <c r="M128" s="3">
        <f>SUM(day_cash_behind[[#Headers],[Sub Cost]]:day_cash_behind[[#This Row],[Sub Cost]])</f>
        <v>90000.000000000015</v>
      </c>
      <c r="N128" s="3">
        <f>SUM(day_cash_behind[[#Headers],[Other Cost]]:day_cash_behind[[#This Row],[Other Cost]])</f>
        <v>37116.352201257796</v>
      </c>
      <c r="O128" s="3">
        <f>SUM(day_cash_behind[[#This Row],[Cumulative Labor]:[Cumulative Other]])</f>
        <v>816877.78852432908</v>
      </c>
      <c r="P128" s="3">
        <f>SUM(day_cash_behind[[#Headers],[Revenue]]:day_cash_behind[[#This Row],[Revenue]])</f>
        <v>121106.83879510101</v>
      </c>
    </row>
    <row r="129" spans="2:16" x14ac:dyDescent="0.45">
      <c r="B129" s="1">
        <v>46512</v>
      </c>
      <c r="C129" s="4">
        <f>SUMIFS(schedule[Labor CPP], schedule[Start Date],"&lt;="&amp;day_cash_behind[[#This Row],[Date]], schedule[Finish Date],"&gt;="&amp;day_cash_behind[[#This Row],[Date]])</f>
        <v>2844.8046771193194</v>
      </c>
      <c r="D129" s="4">
        <f>SUMIFS(schedule[Material CPP], schedule[Start Date],"&lt;="&amp;day_cash_behind[[#This Row],[Date]]-$D$2, schedule[Finish Date],"&gt;="&amp;day_cash_behind[[#This Row],[Date]]-$D$2)</f>
        <v>3117.4254831313465</v>
      </c>
      <c r="E129" s="4">
        <f>SUMIFS(schedule[Equipment CPP], schedule[Start Date],"&lt;="&amp;day_cash_behind[[#This Row],[Date]]-$E$2, schedule[Finish Date],"&gt;="&amp;day_cash_behind[[#This Row],[Date]]-$E$2)</f>
        <v>471.69811320754718</v>
      </c>
      <c r="F129" s="4">
        <f>SUMIFS(schedule[Sub CPP], schedule[Start Date],"&lt;="&amp;day_cash_behind[[#This Row],[Date]]-$F$2, schedule[Finish Date],"&gt;="&amp;day_cash_behind[[#This Row],[Date]]-$F$2)</f>
        <v>0</v>
      </c>
      <c r="G129" s="3">
        <f>SUMIFS(schedule[Other CPP], schedule[Start Date],"&lt;="&amp;day_cash_behind[[#This Row],[Date]]-$G$2, schedule[Finish Date],"&gt;="&amp;day_cash_behind[[#This Row],[Date]]-$G$2)</f>
        <v>314.46540880503147</v>
      </c>
      <c r="H129" s="3">
        <f>SUM(day_cash_behind[[#This Row],[Labor Cost]:[Other Cost]])</f>
        <v>6748.393682263244</v>
      </c>
      <c r="I129" s="3">
        <f>SUMIFS(schedule[Revenue per Day], schedule[Start Date],"&lt;="&amp;day_cash_behind[[#This Row],[Date]]-$I$2, schedule[Finish Date],"&gt;="&amp;day_cash_behind[[#This Row],[Date]]-$I$2)</f>
        <v>9645.1471582977138</v>
      </c>
      <c r="J129" s="3">
        <f>SUM(day_cash_behind[[#Headers],[Labor Cost]]:day_cash_behind[[#This Row],[Labor Cost]])</f>
        <v>489742.22694658424</v>
      </c>
      <c r="K129" s="3">
        <f>SUM(day_cash_behind[[#Headers],[Material Cost]]:day_cash_behind[[#This Row],[Material Cost]])</f>
        <v>150056.91123485088</v>
      </c>
      <c r="L129" s="3">
        <f>SUM(day_cash_behind[[#Headers],[Equipment Cost]]:day_cash_behind[[#This Row],[Equipment Cost]])</f>
        <v>56396.226415094265</v>
      </c>
      <c r="M129" s="3">
        <f>SUM(day_cash_behind[[#Headers],[Sub Cost]]:day_cash_behind[[#This Row],[Sub Cost]])</f>
        <v>90000.000000000015</v>
      </c>
      <c r="N129" s="3">
        <f>SUM(day_cash_behind[[#Headers],[Other Cost]]:day_cash_behind[[#This Row],[Other Cost]])</f>
        <v>37430.817610062826</v>
      </c>
      <c r="O129" s="3">
        <f>SUM(day_cash_behind[[#This Row],[Cumulative Labor]:[Cumulative Other]])</f>
        <v>823626.18220659217</v>
      </c>
      <c r="P129" s="3">
        <f>SUM(day_cash_behind[[#Headers],[Revenue]]:day_cash_behind[[#This Row],[Revenue]])</f>
        <v>130751.98595339872</v>
      </c>
    </row>
    <row r="130" spans="2:16" x14ac:dyDescent="0.45">
      <c r="B130" s="1">
        <v>46513</v>
      </c>
      <c r="C130" s="4">
        <f>SUMIFS(schedule[Labor CPP], schedule[Start Date],"&lt;="&amp;day_cash_behind[[#This Row],[Date]], schedule[Finish Date],"&gt;="&amp;day_cash_behind[[#This Row],[Date]])</f>
        <v>2844.8046771193194</v>
      </c>
      <c r="D130" s="4">
        <f>SUMIFS(schedule[Material CPP], schedule[Start Date],"&lt;="&amp;day_cash_behind[[#This Row],[Date]]-$D$2, schedule[Finish Date],"&gt;="&amp;day_cash_behind[[#This Row],[Date]]-$D$2)</f>
        <v>3117.4254831313465</v>
      </c>
      <c r="E130" s="4">
        <f>SUMIFS(schedule[Equipment CPP], schedule[Start Date],"&lt;="&amp;day_cash_behind[[#This Row],[Date]]-$E$2, schedule[Finish Date],"&gt;="&amp;day_cash_behind[[#This Row],[Date]]-$E$2)</f>
        <v>471.69811320754718</v>
      </c>
      <c r="F130" s="4">
        <f>SUMIFS(schedule[Sub CPP], schedule[Start Date],"&lt;="&amp;day_cash_behind[[#This Row],[Date]]-$F$2, schedule[Finish Date],"&gt;="&amp;day_cash_behind[[#This Row],[Date]]-$F$2)</f>
        <v>0</v>
      </c>
      <c r="G130" s="3">
        <f>SUMIFS(schedule[Other CPP], schedule[Start Date],"&lt;="&amp;day_cash_behind[[#This Row],[Date]]-$G$2, schedule[Finish Date],"&gt;="&amp;day_cash_behind[[#This Row],[Date]]-$G$2)</f>
        <v>314.46540880503147</v>
      </c>
      <c r="H130" s="3">
        <f>SUM(day_cash_behind[[#This Row],[Labor Cost]:[Other Cost]])</f>
        <v>6748.393682263244</v>
      </c>
      <c r="I130" s="3">
        <f>SUMIFS(schedule[Revenue per Day], schedule[Start Date],"&lt;="&amp;day_cash_behind[[#This Row],[Date]]-$I$2, schedule[Finish Date],"&gt;="&amp;day_cash_behind[[#This Row],[Date]]-$I$2)</f>
        <v>9645.1471582977138</v>
      </c>
      <c r="J130" s="3">
        <f>SUM(day_cash_behind[[#Headers],[Labor Cost]]:day_cash_behind[[#This Row],[Labor Cost]])</f>
        <v>492587.03162370354</v>
      </c>
      <c r="K130" s="3">
        <f>SUM(day_cash_behind[[#Headers],[Material Cost]]:day_cash_behind[[#This Row],[Material Cost]])</f>
        <v>153174.33671798222</v>
      </c>
      <c r="L130" s="3">
        <f>SUM(day_cash_behind[[#Headers],[Equipment Cost]]:day_cash_behind[[#This Row],[Equipment Cost]])</f>
        <v>56867.92452830181</v>
      </c>
      <c r="M130" s="3">
        <f>SUM(day_cash_behind[[#Headers],[Sub Cost]]:day_cash_behind[[#This Row],[Sub Cost]])</f>
        <v>90000.000000000015</v>
      </c>
      <c r="N130" s="3">
        <f>SUM(day_cash_behind[[#Headers],[Other Cost]]:day_cash_behind[[#This Row],[Other Cost]])</f>
        <v>37745.283018867856</v>
      </c>
      <c r="O130" s="3">
        <f>SUM(day_cash_behind[[#This Row],[Cumulative Labor]:[Cumulative Other]])</f>
        <v>830374.57588885538</v>
      </c>
      <c r="P130" s="3">
        <f>SUM(day_cash_behind[[#Headers],[Revenue]]:day_cash_behind[[#This Row],[Revenue]])</f>
        <v>140397.13311169643</v>
      </c>
    </row>
    <row r="131" spans="2:16" x14ac:dyDescent="0.45">
      <c r="B131" s="1">
        <v>46514</v>
      </c>
      <c r="C131" s="4">
        <f>SUMIFS(schedule[Labor CPP], schedule[Start Date],"&lt;="&amp;day_cash_behind[[#This Row],[Date]], schedule[Finish Date],"&gt;="&amp;day_cash_behind[[#This Row],[Date]])</f>
        <v>2844.8046771193194</v>
      </c>
      <c r="D131" s="4">
        <f>SUMIFS(schedule[Material CPP], schedule[Start Date],"&lt;="&amp;day_cash_behind[[#This Row],[Date]]-$D$2, schedule[Finish Date],"&gt;="&amp;day_cash_behind[[#This Row],[Date]]-$D$2)</f>
        <v>3117.4254831313465</v>
      </c>
      <c r="E131" s="4">
        <f>SUMIFS(schedule[Equipment CPP], schedule[Start Date],"&lt;="&amp;day_cash_behind[[#This Row],[Date]]-$E$2, schedule[Finish Date],"&gt;="&amp;day_cash_behind[[#This Row],[Date]]-$E$2)</f>
        <v>471.69811320754718</v>
      </c>
      <c r="F131" s="4">
        <f>SUMIFS(schedule[Sub CPP], schedule[Start Date],"&lt;="&amp;day_cash_behind[[#This Row],[Date]]-$F$2, schedule[Finish Date],"&gt;="&amp;day_cash_behind[[#This Row],[Date]]-$F$2)</f>
        <v>0</v>
      </c>
      <c r="G131" s="3">
        <f>SUMIFS(schedule[Other CPP], schedule[Start Date],"&lt;="&amp;day_cash_behind[[#This Row],[Date]]-$G$2, schedule[Finish Date],"&gt;="&amp;day_cash_behind[[#This Row],[Date]]-$G$2)</f>
        <v>314.46540880503147</v>
      </c>
      <c r="H131" s="3">
        <f>SUM(day_cash_behind[[#This Row],[Labor Cost]:[Other Cost]])</f>
        <v>6748.393682263244</v>
      </c>
      <c r="I131" s="3">
        <f>SUMIFS(schedule[Revenue per Day], schedule[Start Date],"&lt;="&amp;day_cash_behind[[#This Row],[Date]]-$I$2, schedule[Finish Date],"&gt;="&amp;day_cash_behind[[#This Row],[Date]]-$I$2)</f>
        <v>9645.1471582977138</v>
      </c>
      <c r="J131" s="3">
        <f>SUM(day_cash_behind[[#Headers],[Labor Cost]]:day_cash_behind[[#This Row],[Labor Cost]])</f>
        <v>495431.83630082285</v>
      </c>
      <c r="K131" s="3">
        <f>SUM(day_cash_behind[[#Headers],[Material Cost]]:day_cash_behind[[#This Row],[Material Cost]])</f>
        <v>156291.76220111357</v>
      </c>
      <c r="L131" s="3">
        <f>SUM(day_cash_behind[[#Headers],[Equipment Cost]]:day_cash_behind[[#This Row],[Equipment Cost]])</f>
        <v>57339.622641509355</v>
      </c>
      <c r="M131" s="3">
        <f>SUM(day_cash_behind[[#Headers],[Sub Cost]]:day_cash_behind[[#This Row],[Sub Cost]])</f>
        <v>90000.000000000015</v>
      </c>
      <c r="N131" s="3">
        <f>SUM(day_cash_behind[[#Headers],[Other Cost]]:day_cash_behind[[#This Row],[Other Cost]])</f>
        <v>38059.748427672886</v>
      </c>
      <c r="O131" s="3">
        <f>SUM(day_cash_behind[[#This Row],[Cumulative Labor]:[Cumulative Other]])</f>
        <v>837122.96957111871</v>
      </c>
      <c r="P131" s="3">
        <f>SUM(day_cash_behind[[#Headers],[Revenue]]:day_cash_behind[[#This Row],[Revenue]])</f>
        <v>150042.28026999414</v>
      </c>
    </row>
    <row r="132" spans="2:16" x14ac:dyDescent="0.45">
      <c r="B132" s="1">
        <v>46515</v>
      </c>
      <c r="C132" s="4">
        <f>SUMIFS(schedule[Labor CPP], schedule[Start Date],"&lt;="&amp;day_cash_behind[[#This Row],[Date]], schedule[Finish Date],"&gt;="&amp;day_cash_behind[[#This Row],[Date]])</f>
        <v>2844.8046771193194</v>
      </c>
      <c r="D132" s="4">
        <f>SUMIFS(schedule[Material CPP], schedule[Start Date],"&lt;="&amp;day_cash_behind[[#This Row],[Date]]-$D$2, schedule[Finish Date],"&gt;="&amp;day_cash_behind[[#This Row],[Date]]-$D$2)</f>
        <v>3117.4254831313465</v>
      </c>
      <c r="E132" s="4">
        <f>SUMIFS(schedule[Equipment CPP], schedule[Start Date],"&lt;="&amp;day_cash_behind[[#This Row],[Date]]-$E$2, schedule[Finish Date],"&gt;="&amp;day_cash_behind[[#This Row],[Date]]-$E$2)</f>
        <v>471.69811320754718</v>
      </c>
      <c r="F132" s="4">
        <f>SUMIFS(schedule[Sub CPP], schedule[Start Date],"&lt;="&amp;day_cash_behind[[#This Row],[Date]]-$F$2, schedule[Finish Date],"&gt;="&amp;day_cash_behind[[#This Row],[Date]]-$F$2)</f>
        <v>0</v>
      </c>
      <c r="G132" s="3">
        <f>SUMIFS(schedule[Other CPP], schedule[Start Date],"&lt;="&amp;day_cash_behind[[#This Row],[Date]]-$G$2, schedule[Finish Date],"&gt;="&amp;day_cash_behind[[#This Row],[Date]]-$G$2)</f>
        <v>314.46540880503147</v>
      </c>
      <c r="H132" s="3">
        <f>SUM(day_cash_behind[[#This Row],[Labor Cost]:[Other Cost]])</f>
        <v>6748.393682263244</v>
      </c>
      <c r="I132" s="3">
        <f>SUMIFS(schedule[Revenue per Day], schedule[Start Date],"&lt;="&amp;day_cash_behind[[#This Row],[Date]]-$I$2, schedule[Finish Date],"&gt;="&amp;day_cash_behind[[#This Row],[Date]]-$I$2)</f>
        <v>9645.1471582977138</v>
      </c>
      <c r="J132" s="3">
        <f>SUM(day_cash_behind[[#Headers],[Labor Cost]]:day_cash_behind[[#This Row],[Labor Cost]])</f>
        <v>498276.64097794215</v>
      </c>
      <c r="K132" s="3">
        <f>SUM(day_cash_behind[[#Headers],[Material Cost]]:day_cash_behind[[#This Row],[Material Cost]])</f>
        <v>159409.18768424491</v>
      </c>
      <c r="L132" s="3">
        <f>SUM(day_cash_behind[[#Headers],[Equipment Cost]]:day_cash_behind[[#This Row],[Equipment Cost]])</f>
        <v>57811.3207547169</v>
      </c>
      <c r="M132" s="3">
        <f>SUM(day_cash_behind[[#Headers],[Sub Cost]]:day_cash_behind[[#This Row],[Sub Cost]])</f>
        <v>90000.000000000015</v>
      </c>
      <c r="N132" s="3">
        <f>SUM(day_cash_behind[[#Headers],[Other Cost]]:day_cash_behind[[#This Row],[Other Cost]])</f>
        <v>38374.213836477917</v>
      </c>
      <c r="O132" s="3">
        <f>SUM(day_cash_behind[[#This Row],[Cumulative Labor]:[Cumulative Other]])</f>
        <v>843871.36325338192</v>
      </c>
      <c r="P132" s="3">
        <f>SUM(day_cash_behind[[#Headers],[Revenue]]:day_cash_behind[[#This Row],[Revenue]])</f>
        <v>159687.42742829185</v>
      </c>
    </row>
    <row r="133" spans="2:16" x14ac:dyDescent="0.45">
      <c r="B133" s="1">
        <v>46516</v>
      </c>
      <c r="C133" s="4">
        <f>SUMIFS(schedule[Labor CPP], schedule[Start Date],"&lt;="&amp;day_cash_behind[[#This Row],[Date]], schedule[Finish Date],"&gt;="&amp;day_cash_behind[[#This Row],[Date]])</f>
        <v>2844.8046771193194</v>
      </c>
      <c r="D133" s="4">
        <f>SUMIFS(schedule[Material CPP], schedule[Start Date],"&lt;="&amp;day_cash_behind[[#This Row],[Date]]-$D$2, schedule[Finish Date],"&gt;="&amp;day_cash_behind[[#This Row],[Date]]-$D$2)</f>
        <v>3117.4254831313465</v>
      </c>
      <c r="E133" s="4">
        <f>SUMIFS(schedule[Equipment CPP], schedule[Start Date],"&lt;="&amp;day_cash_behind[[#This Row],[Date]]-$E$2, schedule[Finish Date],"&gt;="&amp;day_cash_behind[[#This Row],[Date]]-$E$2)</f>
        <v>471.69811320754718</v>
      </c>
      <c r="F133" s="4">
        <f>SUMIFS(schedule[Sub CPP], schedule[Start Date],"&lt;="&amp;day_cash_behind[[#This Row],[Date]]-$F$2, schedule[Finish Date],"&gt;="&amp;day_cash_behind[[#This Row],[Date]]-$F$2)</f>
        <v>0</v>
      </c>
      <c r="G133" s="3">
        <f>SUMIFS(schedule[Other CPP], schedule[Start Date],"&lt;="&amp;day_cash_behind[[#This Row],[Date]]-$G$2, schedule[Finish Date],"&gt;="&amp;day_cash_behind[[#This Row],[Date]]-$G$2)</f>
        <v>314.46540880503147</v>
      </c>
      <c r="H133" s="3">
        <f>SUM(day_cash_behind[[#This Row],[Labor Cost]:[Other Cost]])</f>
        <v>6748.393682263244</v>
      </c>
      <c r="I133" s="3">
        <f>SUMIFS(schedule[Revenue per Day], schedule[Start Date],"&lt;="&amp;day_cash_behind[[#This Row],[Date]]-$I$2, schedule[Finish Date],"&gt;="&amp;day_cash_behind[[#This Row],[Date]]-$I$2)</f>
        <v>9645.1471582977138</v>
      </c>
      <c r="J133" s="3">
        <f>SUM(day_cash_behind[[#Headers],[Labor Cost]]:day_cash_behind[[#This Row],[Labor Cost]])</f>
        <v>501121.44565506146</v>
      </c>
      <c r="K133" s="3">
        <f>SUM(day_cash_behind[[#Headers],[Material Cost]]:day_cash_behind[[#This Row],[Material Cost]])</f>
        <v>162526.61316737626</v>
      </c>
      <c r="L133" s="3">
        <f>SUM(day_cash_behind[[#Headers],[Equipment Cost]]:day_cash_behind[[#This Row],[Equipment Cost]])</f>
        <v>58283.018867924446</v>
      </c>
      <c r="M133" s="3">
        <f>SUM(day_cash_behind[[#Headers],[Sub Cost]]:day_cash_behind[[#This Row],[Sub Cost]])</f>
        <v>90000.000000000015</v>
      </c>
      <c r="N133" s="3">
        <f>SUM(day_cash_behind[[#Headers],[Other Cost]]:day_cash_behind[[#This Row],[Other Cost]])</f>
        <v>38688.679245282947</v>
      </c>
      <c r="O133" s="3">
        <f>SUM(day_cash_behind[[#This Row],[Cumulative Labor]:[Cumulative Other]])</f>
        <v>850619.75693564501</v>
      </c>
      <c r="P133" s="3">
        <f>SUM(day_cash_behind[[#Headers],[Revenue]]:day_cash_behind[[#This Row],[Revenue]])</f>
        <v>169332.57458658956</v>
      </c>
    </row>
    <row r="134" spans="2:16" x14ac:dyDescent="0.45">
      <c r="B134" s="1">
        <v>46517</v>
      </c>
      <c r="C134" s="4">
        <f>SUMIFS(schedule[Labor CPP], schedule[Start Date],"&lt;="&amp;day_cash_behind[[#This Row],[Date]], schedule[Finish Date],"&gt;="&amp;day_cash_behind[[#This Row],[Date]])</f>
        <v>2844.8046771193194</v>
      </c>
      <c r="D134" s="4">
        <f>SUMIFS(schedule[Material CPP], schedule[Start Date],"&lt;="&amp;day_cash_behind[[#This Row],[Date]]-$D$2, schedule[Finish Date],"&gt;="&amp;day_cash_behind[[#This Row],[Date]]-$D$2)</f>
        <v>3117.4254831313465</v>
      </c>
      <c r="E134" s="4">
        <f>SUMIFS(schedule[Equipment CPP], schedule[Start Date],"&lt;="&amp;day_cash_behind[[#This Row],[Date]]-$E$2, schedule[Finish Date],"&gt;="&amp;day_cash_behind[[#This Row],[Date]]-$E$2)</f>
        <v>471.69811320754718</v>
      </c>
      <c r="F134" s="4">
        <f>SUMIFS(schedule[Sub CPP], schedule[Start Date],"&lt;="&amp;day_cash_behind[[#This Row],[Date]]-$F$2, schedule[Finish Date],"&gt;="&amp;day_cash_behind[[#This Row],[Date]]-$F$2)</f>
        <v>0</v>
      </c>
      <c r="G134" s="3">
        <f>SUMIFS(schedule[Other CPP], schedule[Start Date],"&lt;="&amp;day_cash_behind[[#This Row],[Date]]-$G$2, schedule[Finish Date],"&gt;="&amp;day_cash_behind[[#This Row],[Date]]-$G$2)</f>
        <v>314.46540880503147</v>
      </c>
      <c r="H134" s="3">
        <f>SUM(day_cash_behind[[#This Row],[Labor Cost]:[Other Cost]])</f>
        <v>6748.393682263244</v>
      </c>
      <c r="I134" s="3">
        <f>SUMIFS(schedule[Revenue per Day], schedule[Start Date],"&lt;="&amp;day_cash_behind[[#This Row],[Date]]-$I$2, schedule[Finish Date],"&gt;="&amp;day_cash_behind[[#This Row],[Date]]-$I$2)</f>
        <v>9645.1471582977138</v>
      </c>
      <c r="J134" s="3">
        <f>SUM(day_cash_behind[[#Headers],[Labor Cost]]:day_cash_behind[[#This Row],[Labor Cost]])</f>
        <v>503966.25033218076</v>
      </c>
      <c r="K134" s="3">
        <f>SUM(day_cash_behind[[#Headers],[Material Cost]]:day_cash_behind[[#This Row],[Material Cost]])</f>
        <v>165644.0386505076</v>
      </c>
      <c r="L134" s="3">
        <f>SUM(day_cash_behind[[#Headers],[Equipment Cost]]:day_cash_behind[[#This Row],[Equipment Cost]])</f>
        <v>58754.716981131991</v>
      </c>
      <c r="M134" s="3">
        <f>SUM(day_cash_behind[[#Headers],[Sub Cost]]:day_cash_behind[[#This Row],[Sub Cost]])</f>
        <v>90000.000000000015</v>
      </c>
      <c r="N134" s="3">
        <f>SUM(day_cash_behind[[#Headers],[Other Cost]]:day_cash_behind[[#This Row],[Other Cost]])</f>
        <v>39003.144654087977</v>
      </c>
      <c r="O134" s="3">
        <f>SUM(day_cash_behind[[#This Row],[Cumulative Labor]:[Cumulative Other]])</f>
        <v>857368.15061790822</v>
      </c>
      <c r="P134" s="3">
        <f>SUM(day_cash_behind[[#Headers],[Revenue]]:day_cash_behind[[#This Row],[Revenue]])</f>
        <v>178977.72174488727</v>
      </c>
    </row>
    <row r="135" spans="2:16" x14ac:dyDescent="0.45">
      <c r="B135" s="1">
        <v>46518</v>
      </c>
      <c r="C135" s="4">
        <f>SUMIFS(schedule[Labor CPP], schedule[Start Date],"&lt;="&amp;day_cash_behind[[#This Row],[Date]], schedule[Finish Date],"&gt;="&amp;day_cash_behind[[#This Row],[Date]])</f>
        <v>2844.8046771193194</v>
      </c>
      <c r="D135" s="4">
        <f>SUMIFS(schedule[Material CPP], schedule[Start Date],"&lt;="&amp;day_cash_behind[[#This Row],[Date]]-$D$2, schedule[Finish Date],"&gt;="&amp;day_cash_behind[[#This Row],[Date]]-$D$2)</f>
        <v>3117.4254831313465</v>
      </c>
      <c r="E135" s="4">
        <f>SUMIFS(schedule[Equipment CPP], schedule[Start Date],"&lt;="&amp;day_cash_behind[[#This Row],[Date]]-$E$2, schedule[Finish Date],"&gt;="&amp;day_cash_behind[[#This Row],[Date]]-$E$2)</f>
        <v>471.69811320754718</v>
      </c>
      <c r="F135" s="4">
        <f>SUMIFS(schedule[Sub CPP], schedule[Start Date],"&lt;="&amp;day_cash_behind[[#This Row],[Date]]-$F$2, schedule[Finish Date],"&gt;="&amp;day_cash_behind[[#This Row],[Date]]-$F$2)</f>
        <v>0</v>
      </c>
      <c r="G135" s="3">
        <f>SUMIFS(schedule[Other CPP], schedule[Start Date],"&lt;="&amp;day_cash_behind[[#This Row],[Date]]-$G$2, schedule[Finish Date],"&gt;="&amp;day_cash_behind[[#This Row],[Date]]-$G$2)</f>
        <v>314.46540880503147</v>
      </c>
      <c r="H135" s="3">
        <f>SUM(day_cash_behind[[#This Row],[Labor Cost]:[Other Cost]])</f>
        <v>6748.393682263244</v>
      </c>
      <c r="I135" s="3">
        <f>SUMIFS(schedule[Revenue per Day], schedule[Start Date],"&lt;="&amp;day_cash_behind[[#This Row],[Date]]-$I$2, schedule[Finish Date],"&gt;="&amp;day_cash_behind[[#This Row],[Date]]-$I$2)</f>
        <v>9645.1471582977138</v>
      </c>
      <c r="J135" s="3">
        <f>SUM(day_cash_behind[[#Headers],[Labor Cost]]:day_cash_behind[[#This Row],[Labor Cost]])</f>
        <v>506811.05500930006</v>
      </c>
      <c r="K135" s="3">
        <f>SUM(day_cash_behind[[#Headers],[Material Cost]]:day_cash_behind[[#This Row],[Material Cost]])</f>
        <v>168761.46413363895</v>
      </c>
      <c r="L135" s="3">
        <f>SUM(day_cash_behind[[#Headers],[Equipment Cost]]:day_cash_behind[[#This Row],[Equipment Cost]])</f>
        <v>59226.415094339536</v>
      </c>
      <c r="M135" s="3">
        <f>SUM(day_cash_behind[[#Headers],[Sub Cost]]:day_cash_behind[[#This Row],[Sub Cost]])</f>
        <v>90000.000000000015</v>
      </c>
      <c r="N135" s="3">
        <f>SUM(day_cash_behind[[#Headers],[Other Cost]]:day_cash_behind[[#This Row],[Other Cost]])</f>
        <v>39317.610062893007</v>
      </c>
      <c r="O135" s="3">
        <f>SUM(day_cash_behind[[#This Row],[Cumulative Labor]:[Cumulative Other]])</f>
        <v>864116.54430017155</v>
      </c>
      <c r="P135" s="3">
        <f>SUM(day_cash_behind[[#Headers],[Revenue]]:day_cash_behind[[#This Row],[Revenue]])</f>
        <v>188622.86890318498</v>
      </c>
    </row>
    <row r="136" spans="2:16" x14ac:dyDescent="0.45">
      <c r="B136" s="1">
        <v>46519</v>
      </c>
      <c r="C136" s="4">
        <f>SUMIFS(schedule[Labor CPP], schedule[Start Date],"&lt;="&amp;day_cash_behind[[#This Row],[Date]], schedule[Finish Date],"&gt;="&amp;day_cash_behind[[#This Row],[Date]])</f>
        <v>2844.8046771193194</v>
      </c>
      <c r="D136" s="4">
        <f>SUMIFS(schedule[Material CPP], schedule[Start Date],"&lt;="&amp;day_cash_behind[[#This Row],[Date]]-$D$2, schedule[Finish Date],"&gt;="&amp;day_cash_behind[[#This Row],[Date]]-$D$2)</f>
        <v>3117.4254831313465</v>
      </c>
      <c r="E136" s="4">
        <f>SUMIFS(schedule[Equipment CPP], schedule[Start Date],"&lt;="&amp;day_cash_behind[[#This Row],[Date]]-$E$2, schedule[Finish Date],"&gt;="&amp;day_cash_behind[[#This Row],[Date]]-$E$2)</f>
        <v>471.69811320754718</v>
      </c>
      <c r="F136" s="4">
        <f>SUMIFS(schedule[Sub CPP], schedule[Start Date],"&lt;="&amp;day_cash_behind[[#This Row],[Date]]-$F$2, schedule[Finish Date],"&gt;="&amp;day_cash_behind[[#This Row],[Date]]-$F$2)</f>
        <v>0</v>
      </c>
      <c r="G136" s="3">
        <f>SUMIFS(schedule[Other CPP], schedule[Start Date],"&lt;="&amp;day_cash_behind[[#This Row],[Date]]-$G$2, schedule[Finish Date],"&gt;="&amp;day_cash_behind[[#This Row],[Date]]-$G$2)</f>
        <v>314.46540880503147</v>
      </c>
      <c r="H136" s="3">
        <f>SUM(day_cash_behind[[#This Row],[Labor Cost]:[Other Cost]])</f>
        <v>6748.393682263244</v>
      </c>
      <c r="I136" s="3">
        <f>SUMIFS(schedule[Revenue per Day], schedule[Start Date],"&lt;="&amp;day_cash_behind[[#This Row],[Date]]-$I$2, schedule[Finish Date],"&gt;="&amp;day_cash_behind[[#This Row],[Date]]-$I$2)</f>
        <v>9645.1471582977138</v>
      </c>
      <c r="J136" s="3">
        <f>SUM(day_cash_behind[[#Headers],[Labor Cost]]:day_cash_behind[[#This Row],[Labor Cost]])</f>
        <v>509655.85968641937</v>
      </c>
      <c r="K136" s="3">
        <f>SUM(day_cash_behind[[#Headers],[Material Cost]]:day_cash_behind[[#This Row],[Material Cost]])</f>
        <v>171878.88961677029</v>
      </c>
      <c r="L136" s="3">
        <f>SUM(day_cash_behind[[#Headers],[Equipment Cost]]:day_cash_behind[[#This Row],[Equipment Cost]])</f>
        <v>59698.113207547081</v>
      </c>
      <c r="M136" s="3">
        <f>SUM(day_cash_behind[[#Headers],[Sub Cost]]:day_cash_behind[[#This Row],[Sub Cost]])</f>
        <v>90000.000000000015</v>
      </c>
      <c r="N136" s="3">
        <f>SUM(day_cash_behind[[#Headers],[Other Cost]]:day_cash_behind[[#This Row],[Other Cost]])</f>
        <v>39632.075471698037</v>
      </c>
      <c r="O136" s="3">
        <f>SUM(day_cash_behind[[#This Row],[Cumulative Labor]:[Cumulative Other]])</f>
        <v>870864.93798243487</v>
      </c>
      <c r="P136" s="3">
        <f>SUM(day_cash_behind[[#Headers],[Revenue]]:day_cash_behind[[#This Row],[Revenue]])</f>
        <v>198268.01606148269</v>
      </c>
    </row>
    <row r="137" spans="2:16" x14ac:dyDescent="0.45">
      <c r="B137" s="1">
        <v>46520</v>
      </c>
      <c r="C137" s="4">
        <f>SUMIFS(schedule[Labor CPP], schedule[Start Date],"&lt;="&amp;day_cash_behind[[#This Row],[Date]], schedule[Finish Date],"&gt;="&amp;day_cash_behind[[#This Row],[Date]])</f>
        <v>2844.8046771193194</v>
      </c>
      <c r="D137" s="4">
        <f>SUMIFS(schedule[Material CPP], schedule[Start Date],"&lt;="&amp;day_cash_behind[[#This Row],[Date]]-$D$2, schedule[Finish Date],"&gt;="&amp;day_cash_behind[[#This Row],[Date]]-$D$2)</f>
        <v>3117.4254831313465</v>
      </c>
      <c r="E137" s="4">
        <f>SUMIFS(schedule[Equipment CPP], schedule[Start Date],"&lt;="&amp;day_cash_behind[[#This Row],[Date]]-$E$2, schedule[Finish Date],"&gt;="&amp;day_cash_behind[[#This Row],[Date]]-$E$2)</f>
        <v>471.69811320754718</v>
      </c>
      <c r="F137" s="4">
        <f>SUMIFS(schedule[Sub CPP], schedule[Start Date],"&lt;="&amp;day_cash_behind[[#This Row],[Date]]-$F$2, schedule[Finish Date],"&gt;="&amp;day_cash_behind[[#This Row],[Date]]-$F$2)</f>
        <v>0</v>
      </c>
      <c r="G137" s="3">
        <f>SUMIFS(schedule[Other CPP], schedule[Start Date],"&lt;="&amp;day_cash_behind[[#This Row],[Date]]-$G$2, schedule[Finish Date],"&gt;="&amp;day_cash_behind[[#This Row],[Date]]-$G$2)</f>
        <v>314.46540880503147</v>
      </c>
      <c r="H137" s="3">
        <f>SUM(day_cash_behind[[#This Row],[Labor Cost]:[Other Cost]])</f>
        <v>6748.393682263244</v>
      </c>
      <c r="I137" s="3">
        <f>SUMIFS(schedule[Revenue per Day], schedule[Start Date],"&lt;="&amp;day_cash_behind[[#This Row],[Date]]-$I$2, schedule[Finish Date],"&gt;="&amp;day_cash_behind[[#This Row],[Date]]-$I$2)</f>
        <v>9645.1471582977138</v>
      </c>
      <c r="J137" s="3">
        <f>SUM(day_cash_behind[[#Headers],[Labor Cost]]:day_cash_behind[[#This Row],[Labor Cost]])</f>
        <v>512500.66436353867</v>
      </c>
      <c r="K137" s="3">
        <f>SUM(day_cash_behind[[#Headers],[Material Cost]]:day_cash_behind[[#This Row],[Material Cost]])</f>
        <v>174996.31509990164</v>
      </c>
      <c r="L137" s="3">
        <f>SUM(day_cash_behind[[#Headers],[Equipment Cost]]:day_cash_behind[[#This Row],[Equipment Cost]])</f>
        <v>60169.811320754627</v>
      </c>
      <c r="M137" s="3">
        <f>SUM(day_cash_behind[[#Headers],[Sub Cost]]:day_cash_behind[[#This Row],[Sub Cost]])</f>
        <v>90000.000000000015</v>
      </c>
      <c r="N137" s="3">
        <f>SUM(day_cash_behind[[#Headers],[Other Cost]]:day_cash_behind[[#This Row],[Other Cost]])</f>
        <v>39946.540880503067</v>
      </c>
      <c r="O137" s="3">
        <f>SUM(day_cash_behind[[#This Row],[Cumulative Labor]:[Cumulative Other]])</f>
        <v>877613.33166469797</v>
      </c>
      <c r="P137" s="3">
        <f>SUM(day_cash_behind[[#Headers],[Revenue]]:day_cash_behind[[#This Row],[Revenue]])</f>
        <v>207913.1632197804</v>
      </c>
    </row>
    <row r="138" spans="2:16" x14ac:dyDescent="0.45">
      <c r="B138" s="1">
        <v>46521</v>
      </c>
      <c r="C138" s="4">
        <f>SUMIFS(schedule[Labor CPP], schedule[Start Date],"&lt;="&amp;day_cash_behind[[#This Row],[Date]], schedule[Finish Date],"&gt;="&amp;day_cash_behind[[#This Row],[Date]])</f>
        <v>2844.8046771193194</v>
      </c>
      <c r="D138" s="4">
        <f>SUMIFS(schedule[Material CPP], schedule[Start Date],"&lt;="&amp;day_cash_behind[[#This Row],[Date]]-$D$2, schedule[Finish Date],"&gt;="&amp;day_cash_behind[[#This Row],[Date]]-$D$2)</f>
        <v>3117.4254831313465</v>
      </c>
      <c r="E138" s="4">
        <f>SUMIFS(schedule[Equipment CPP], schedule[Start Date],"&lt;="&amp;day_cash_behind[[#This Row],[Date]]-$E$2, schedule[Finish Date],"&gt;="&amp;day_cash_behind[[#This Row],[Date]]-$E$2)</f>
        <v>471.69811320754718</v>
      </c>
      <c r="F138" s="4">
        <f>SUMIFS(schedule[Sub CPP], schedule[Start Date],"&lt;="&amp;day_cash_behind[[#This Row],[Date]]-$F$2, schedule[Finish Date],"&gt;="&amp;day_cash_behind[[#This Row],[Date]]-$F$2)</f>
        <v>0</v>
      </c>
      <c r="G138" s="3">
        <f>SUMIFS(schedule[Other CPP], schedule[Start Date],"&lt;="&amp;day_cash_behind[[#This Row],[Date]]-$G$2, schedule[Finish Date],"&gt;="&amp;day_cash_behind[[#This Row],[Date]]-$G$2)</f>
        <v>314.46540880503147</v>
      </c>
      <c r="H138" s="3">
        <f>SUM(day_cash_behind[[#This Row],[Labor Cost]:[Other Cost]])</f>
        <v>6748.393682263244</v>
      </c>
      <c r="I138" s="3">
        <f>SUMIFS(schedule[Revenue per Day], schedule[Start Date],"&lt;="&amp;day_cash_behind[[#This Row],[Date]]-$I$2, schedule[Finish Date],"&gt;="&amp;day_cash_behind[[#This Row],[Date]]-$I$2)</f>
        <v>9645.1471582977138</v>
      </c>
      <c r="J138" s="3">
        <f>SUM(day_cash_behind[[#Headers],[Labor Cost]]:day_cash_behind[[#This Row],[Labor Cost]])</f>
        <v>515345.46904065798</v>
      </c>
      <c r="K138" s="3">
        <f>SUM(day_cash_behind[[#Headers],[Material Cost]]:day_cash_behind[[#This Row],[Material Cost]])</f>
        <v>178113.74058303298</v>
      </c>
      <c r="L138" s="3">
        <f>SUM(day_cash_behind[[#Headers],[Equipment Cost]]:day_cash_behind[[#This Row],[Equipment Cost]])</f>
        <v>60641.509433962172</v>
      </c>
      <c r="M138" s="3">
        <f>SUM(day_cash_behind[[#Headers],[Sub Cost]]:day_cash_behind[[#This Row],[Sub Cost]])</f>
        <v>90000.000000000015</v>
      </c>
      <c r="N138" s="3">
        <f>SUM(day_cash_behind[[#Headers],[Other Cost]]:day_cash_behind[[#This Row],[Other Cost]])</f>
        <v>40261.006289308098</v>
      </c>
      <c r="O138" s="3">
        <f>SUM(day_cash_behind[[#This Row],[Cumulative Labor]:[Cumulative Other]])</f>
        <v>884361.72534696118</v>
      </c>
      <c r="P138" s="3">
        <f>SUM(day_cash_behind[[#Headers],[Revenue]]:day_cash_behind[[#This Row],[Revenue]])</f>
        <v>217558.31037807811</v>
      </c>
    </row>
    <row r="139" spans="2:16" x14ac:dyDescent="0.45">
      <c r="B139" s="1">
        <v>46522</v>
      </c>
      <c r="C139" s="4">
        <f>SUMIFS(schedule[Labor CPP], schedule[Start Date],"&lt;="&amp;day_cash_behind[[#This Row],[Date]], schedule[Finish Date],"&gt;="&amp;day_cash_behind[[#This Row],[Date]])</f>
        <v>2844.8046771193194</v>
      </c>
      <c r="D139" s="4">
        <f>SUMIFS(schedule[Material CPP], schedule[Start Date],"&lt;="&amp;day_cash_behind[[#This Row],[Date]]-$D$2, schedule[Finish Date],"&gt;="&amp;day_cash_behind[[#This Row],[Date]]-$D$2)</f>
        <v>3117.4254831313465</v>
      </c>
      <c r="E139" s="4">
        <f>SUMIFS(schedule[Equipment CPP], schedule[Start Date],"&lt;="&amp;day_cash_behind[[#This Row],[Date]]-$E$2, schedule[Finish Date],"&gt;="&amp;day_cash_behind[[#This Row],[Date]]-$E$2)</f>
        <v>471.69811320754718</v>
      </c>
      <c r="F139" s="4">
        <f>SUMIFS(schedule[Sub CPP], schedule[Start Date],"&lt;="&amp;day_cash_behind[[#This Row],[Date]]-$F$2, schedule[Finish Date],"&gt;="&amp;day_cash_behind[[#This Row],[Date]]-$F$2)</f>
        <v>0</v>
      </c>
      <c r="G139" s="3">
        <f>SUMIFS(schedule[Other CPP], schedule[Start Date],"&lt;="&amp;day_cash_behind[[#This Row],[Date]]-$G$2, schedule[Finish Date],"&gt;="&amp;day_cash_behind[[#This Row],[Date]]-$G$2)</f>
        <v>314.46540880503147</v>
      </c>
      <c r="H139" s="3">
        <f>SUM(day_cash_behind[[#This Row],[Labor Cost]:[Other Cost]])</f>
        <v>6748.393682263244</v>
      </c>
      <c r="I139" s="3">
        <f>SUMIFS(schedule[Revenue per Day], schedule[Start Date],"&lt;="&amp;day_cash_behind[[#This Row],[Date]]-$I$2, schedule[Finish Date],"&gt;="&amp;day_cash_behind[[#This Row],[Date]]-$I$2)</f>
        <v>9645.1471582977138</v>
      </c>
      <c r="J139" s="3">
        <f>SUM(day_cash_behind[[#Headers],[Labor Cost]]:day_cash_behind[[#This Row],[Labor Cost]])</f>
        <v>518190.27371777728</v>
      </c>
      <c r="K139" s="3">
        <f>SUM(day_cash_behind[[#Headers],[Material Cost]]:day_cash_behind[[#This Row],[Material Cost]])</f>
        <v>181231.16606616433</v>
      </c>
      <c r="L139" s="3">
        <f>SUM(day_cash_behind[[#Headers],[Equipment Cost]]:day_cash_behind[[#This Row],[Equipment Cost]])</f>
        <v>61113.207547169717</v>
      </c>
      <c r="M139" s="3">
        <f>SUM(day_cash_behind[[#Headers],[Sub Cost]]:day_cash_behind[[#This Row],[Sub Cost]])</f>
        <v>90000.000000000015</v>
      </c>
      <c r="N139" s="3">
        <f>SUM(day_cash_behind[[#Headers],[Other Cost]]:day_cash_behind[[#This Row],[Other Cost]])</f>
        <v>40575.471698113128</v>
      </c>
      <c r="O139" s="3">
        <f>SUM(day_cash_behind[[#This Row],[Cumulative Labor]:[Cumulative Other]])</f>
        <v>891110.1190292245</v>
      </c>
      <c r="P139" s="3">
        <f>SUM(day_cash_behind[[#Headers],[Revenue]]:day_cash_behind[[#This Row],[Revenue]])</f>
        <v>227203.45753637582</v>
      </c>
    </row>
    <row r="140" spans="2:16" x14ac:dyDescent="0.45">
      <c r="B140" s="1">
        <v>46523</v>
      </c>
      <c r="C140" s="4">
        <f>SUMIFS(schedule[Labor CPP], schedule[Start Date],"&lt;="&amp;day_cash_behind[[#This Row],[Date]], schedule[Finish Date],"&gt;="&amp;day_cash_behind[[#This Row],[Date]])</f>
        <v>2844.8046771193194</v>
      </c>
      <c r="D140" s="4">
        <f>SUMIFS(schedule[Material CPP], schedule[Start Date],"&lt;="&amp;day_cash_behind[[#This Row],[Date]]-$D$2, schedule[Finish Date],"&gt;="&amp;day_cash_behind[[#This Row],[Date]]-$D$2)</f>
        <v>3117.4254831313465</v>
      </c>
      <c r="E140" s="4">
        <f>SUMIFS(schedule[Equipment CPP], schedule[Start Date],"&lt;="&amp;day_cash_behind[[#This Row],[Date]]-$E$2, schedule[Finish Date],"&gt;="&amp;day_cash_behind[[#This Row],[Date]]-$E$2)</f>
        <v>471.69811320754718</v>
      </c>
      <c r="F140" s="4">
        <f>SUMIFS(schedule[Sub CPP], schedule[Start Date],"&lt;="&amp;day_cash_behind[[#This Row],[Date]]-$F$2, schedule[Finish Date],"&gt;="&amp;day_cash_behind[[#This Row],[Date]]-$F$2)</f>
        <v>5758.5139318885449</v>
      </c>
      <c r="G140" s="3">
        <f>SUMIFS(schedule[Other CPP], schedule[Start Date],"&lt;="&amp;day_cash_behind[[#This Row],[Date]]-$G$2, schedule[Finish Date],"&gt;="&amp;day_cash_behind[[#This Row],[Date]]-$G$2)</f>
        <v>314.46540880503147</v>
      </c>
      <c r="H140" s="3">
        <f>SUM(day_cash_behind[[#This Row],[Labor Cost]:[Other Cost]])</f>
        <v>12506.907614151789</v>
      </c>
      <c r="I140" s="3">
        <f>SUMIFS(schedule[Revenue per Day], schedule[Start Date],"&lt;="&amp;day_cash_behind[[#This Row],[Date]]-$I$2, schedule[Finish Date],"&gt;="&amp;day_cash_behind[[#This Row],[Date]]-$I$2)</f>
        <v>14201.068210929292</v>
      </c>
      <c r="J140" s="3">
        <f>SUM(day_cash_behind[[#Headers],[Labor Cost]]:day_cash_behind[[#This Row],[Labor Cost]])</f>
        <v>521035.07839489658</v>
      </c>
      <c r="K140" s="3">
        <f>SUM(day_cash_behind[[#Headers],[Material Cost]]:day_cash_behind[[#This Row],[Material Cost]])</f>
        <v>184348.59154929567</v>
      </c>
      <c r="L140" s="3">
        <f>SUM(day_cash_behind[[#Headers],[Equipment Cost]]:day_cash_behind[[#This Row],[Equipment Cost]])</f>
        <v>61584.905660377262</v>
      </c>
      <c r="M140" s="3">
        <f>SUM(day_cash_behind[[#Headers],[Sub Cost]]:day_cash_behind[[#This Row],[Sub Cost]])</f>
        <v>95758.513931888563</v>
      </c>
      <c r="N140" s="3">
        <f>SUM(day_cash_behind[[#Headers],[Other Cost]]:day_cash_behind[[#This Row],[Other Cost]])</f>
        <v>40889.937106918158</v>
      </c>
      <c r="O140" s="3">
        <f>SUM(day_cash_behind[[#This Row],[Cumulative Labor]:[Cumulative Other]])</f>
        <v>903617.02664337622</v>
      </c>
      <c r="P140" s="3">
        <f>SUM(day_cash_behind[[#Headers],[Revenue]]:day_cash_behind[[#This Row],[Revenue]])</f>
        <v>241404.5257473051</v>
      </c>
    </row>
    <row r="141" spans="2:16" x14ac:dyDescent="0.45">
      <c r="B141" s="1">
        <v>46524</v>
      </c>
      <c r="C141" s="4">
        <f>SUMIFS(schedule[Labor CPP], schedule[Start Date],"&lt;="&amp;day_cash_behind[[#This Row],[Date]], schedule[Finish Date],"&gt;="&amp;day_cash_behind[[#This Row],[Date]])</f>
        <v>2844.8046771193194</v>
      </c>
      <c r="D141" s="4">
        <f>SUMIFS(schedule[Material CPP], schedule[Start Date],"&lt;="&amp;day_cash_behind[[#This Row],[Date]]-$D$2, schedule[Finish Date],"&gt;="&amp;day_cash_behind[[#This Row],[Date]]-$D$2)</f>
        <v>1373.2394366197184</v>
      </c>
      <c r="E141" s="4">
        <f>SUMIFS(schedule[Equipment CPP], schedule[Start Date],"&lt;="&amp;day_cash_behind[[#This Row],[Date]]-$E$2, schedule[Finish Date],"&gt;="&amp;day_cash_behind[[#This Row],[Date]]-$E$2)</f>
        <v>471.69811320754718</v>
      </c>
      <c r="F141" s="4">
        <f>SUMIFS(schedule[Sub CPP], schedule[Start Date],"&lt;="&amp;day_cash_behind[[#This Row],[Date]]-$F$2, schedule[Finish Date],"&gt;="&amp;day_cash_behind[[#This Row],[Date]]-$F$2)</f>
        <v>5758.5139318885449</v>
      </c>
      <c r="G141" s="3">
        <f>SUMIFS(schedule[Other CPP], schedule[Start Date],"&lt;="&amp;day_cash_behind[[#This Row],[Date]]-$G$2, schedule[Finish Date],"&gt;="&amp;day_cash_behind[[#This Row],[Date]]-$G$2)</f>
        <v>314.46540880503147</v>
      </c>
      <c r="H141" s="3">
        <f>SUM(day_cash_behind[[#This Row],[Labor Cost]:[Other Cost]])</f>
        <v>10762.721567640163</v>
      </c>
      <c r="I141" s="3">
        <f>SUMIFS(schedule[Revenue per Day], schedule[Start Date],"&lt;="&amp;day_cash_behind[[#This Row],[Date]]-$I$2, schedule[Finish Date],"&gt;="&amp;day_cash_behind[[#This Row],[Date]]-$I$2)</f>
        <v>14201.068210929292</v>
      </c>
      <c r="J141" s="3">
        <f>SUM(day_cash_behind[[#Headers],[Labor Cost]]:day_cash_behind[[#This Row],[Labor Cost]])</f>
        <v>523879.88307201589</v>
      </c>
      <c r="K141" s="3">
        <f>SUM(day_cash_behind[[#Headers],[Material Cost]]:day_cash_behind[[#This Row],[Material Cost]])</f>
        <v>185721.83098591538</v>
      </c>
      <c r="L141" s="3">
        <f>SUM(day_cash_behind[[#Headers],[Equipment Cost]]:day_cash_behind[[#This Row],[Equipment Cost]])</f>
        <v>62056.603773584808</v>
      </c>
      <c r="M141" s="3">
        <f>SUM(day_cash_behind[[#Headers],[Sub Cost]]:day_cash_behind[[#This Row],[Sub Cost]])</f>
        <v>101517.02786377711</v>
      </c>
      <c r="N141" s="3">
        <f>SUM(day_cash_behind[[#Headers],[Other Cost]]:day_cash_behind[[#This Row],[Other Cost]])</f>
        <v>41204.402515723188</v>
      </c>
      <c r="O141" s="3">
        <f>SUM(day_cash_behind[[#This Row],[Cumulative Labor]:[Cumulative Other]])</f>
        <v>914379.7482110163</v>
      </c>
      <c r="P141" s="3">
        <f>SUM(day_cash_behind[[#Headers],[Revenue]]:day_cash_behind[[#This Row],[Revenue]])</f>
        <v>255605.59395823439</v>
      </c>
    </row>
    <row r="142" spans="2:16" x14ac:dyDescent="0.45">
      <c r="B142" s="1">
        <v>46525</v>
      </c>
      <c r="C142" s="4">
        <f>SUMIFS(schedule[Labor CPP], schedule[Start Date],"&lt;="&amp;day_cash_behind[[#This Row],[Date]], schedule[Finish Date],"&gt;="&amp;day_cash_behind[[#This Row],[Date]])</f>
        <v>2844.8046771193194</v>
      </c>
      <c r="D142" s="4">
        <f>SUMIFS(schedule[Material CPP], schedule[Start Date],"&lt;="&amp;day_cash_behind[[#This Row],[Date]]-$D$2, schedule[Finish Date],"&gt;="&amp;day_cash_behind[[#This Row],[Date]]-$D$2)</f>
        <v>1373.2394366197184</v>
      </c>
      <c r="E142" s="4">
        <f>SUMIFS(schedule[Equipment CPP], schedule[Start Date],"&lt;="&amp;day_cash_behind[[#This Row],[Date]]-$E$2, schedule[Finish Date],"&gt;="&amp;day_cash_behind[[#This Row],[Date]]-$E$2)</f>
        <v>471.69811320754718</v>
      </c>
      <c r="F142" s="4">
        <f>SUMIFS(schedule[Sub CPP], schedule[Start Date],"&lt;="&amp;day_cash_behind[[#This Row],[Date]]-$F$2, schedule[Finish Date],"&gt;="&amp;day_cash_behind[[#This Row],[Date]]-$F$2)</f>
        <v>5758.5139318885449</v>
      </c>
      <c r="G142" s="3">
        <f>SUMIFS(schedule[Other CPP], schedule[Start Date],"&lt;="&amp;day_cash_behind[[#This Row],[Date]]-$G$2, schedule[Finish Date],"&gt;="&amp;day_cash_behind[[#This Row],[Date]]-$G$2)</f>
        <v>314.46540880503147</v>
      </c>
      <c r="H142" s="3">
        <f>SUM(day_cash_behind[[#This Row],[Labor Cost]:[Other Cost]])</f>
        <v>10762.721567640163</v>
      </c>
      <c r="I142" s="3">
        <f>SUMIFS(schedule[Revenue per Day], schedule[Start Date],"&lt;="&amp;day_cash_behind[[#This Row],[Date]]-$I$2, schedule[Finish Date],"&gt;="&amp;day_cash_behind[[#This Row],[Date]]-$I$2)</f>
        <v>14201.068210929292</v>
      </c>
      <c r="J142" s="3">
        <f>SUM(day_cash_behind[[#Headers],[Labor Cost]]:day_cash_behind[[#This Row],[Labor Cost]])</f>
        <v>526724.68774913519</v>
      </c>
      <c r="K142" s="3">
        <f>SUM(day_cash_behind[[#Headers],[Material Cost]]:day_cash_behind[[#This Row],[Material Cost]])</f>
        <v>187095.07042253509</v>
      </c>
      <c r="L142" s="3">
        <f>SUM(day_cash_behind[[#Headers],[Equipment Cost]]:day_cash_behind[[#This Row],[Equipment Cost]])</f>
        <v>62528.301886792353</v>
      </c>
      <c r="M142" s="3">
        <f>SUM(day_cash_behind[[#Headers],[Sub Cost]]:day_cash_behind[[#This Row],[Sub Cost]])</f>
        <v>107275.54179566566</v>
      </c>
      <c r="N142" s="3">
        <f>SUM(day_cash_behind[[#Headers],[Other Cost]]:day_cash_behind[[#This Row],[Other Cost]])</f>
        <v>41518.867924528218</v>
      </c>
      <c r="O142" s="3">
        <f>SUM(day_cash_behind[[#This Row],[Cumulative Labor]:[Cumulative Other]])</f>
        <v>925142.46977865649</v>
      </c>
      <c r="P142" s="3">
        <f>SUM(day_cash_behind[[#Headers],[Revenue]]:day_cash_behind[[#This Row],[Revenue]])</f>
        <v>269806.6621691637</v>
      </c>
    </row>
    <row r="143" spans="2:16" x14ac:dyDescent="0.45">
      <c r="B143" s="1">
        <v>46526</v>
      </c>
      <c r="C143" s="4">
        <f>SUMIFS(schedule[Labor CPP], schedule[Start Date],"&lt;="&amp;day_cash_behind[[#This Row],[Date]], schedule[Finish Date],"&gt;="&amp;day_cash_behind[[#This Row],[Date]])</f>
        <v>2844.8046771193194</v>
      </c>
      <c r="D143" s="4">
        <f>SUMIFS(schedule[Material CPP], schedule[Start Date],"&lt;="&amp;day_cash_behind[[#This Row],[Date]]-$D$2, schedule[Finish Date],"&gt;="&amp;day_cash_behind[[#This Row],[Date]]-$D$2)</f>
        <v>1373.2394366197184</v>
      </c>
      <c r="E143" s="4">
        <f>SUMIFS(schedule[Equipment CPP], schedule[Start Date],"&lt;="&amp;day_cash_behind[[#This Row],[Date]]-$E$2, schedule[Finish Date],"&gt;="&amp;day_cash_behind[[#This Row],[Date]]-$E$2)</f>
        <v>471.69811320754718</v>
      </c>
      <c r="F143" s="4">
        <f>SUMIFS(schedule[Sub CPP], schedule[Start Date],"&lt;="&amp;day_cash_behind[[#This Row],[Date]]-$F$2, schedule[Finish Date],"&gt;="&amp;day_cash_behind[[#This Row],[Date]]-$F$2)</f>
        <v>5758.5139318885449</v>
      </c>
      <c r="G143" s="3">
        <f>SUMIFS(schedule[Other CPP], schedule[Start Date],"&lt;="&amp;day_cash_behind[[#This Row],[Date]]-$G$2, schedule[Finish Date],"&gt;="&amp;day_cash_behind[[#This Row],[Date]]-$G$2)</f>
        <v>314.46540880503147</v>
      </c>
      <c r="H143" s="3">
        <f>SUM(day_cash_behind[[#This Row],[Labor Cost]:[Other Cost]])</f>
        <v>10762.721567640163</v>
      </c>
      <c r="I143" s="3">
        <f>SUMIFS(schedule[Revenue per Day], schedule[Start Date],"&lt;="&amp;day_cash_behind[[#This Row],[Date]]-$I$2, schedule[Finish Date],"&gt;="&amp;day_cash_behind[[#This Row],[Date]]-$I$2)</f>
        <v>14201.068210929292</v>
      </c>
      <c r="J143" s="3">
        <f>SUM(day_cash_behind[[#Headers],[Labor Cost]]:day_cash_behind[[#This Row],[Labor Cost]])</f>
        <v>529569.49242625455</v>
      </c>
      <c r="K143" s="3">
        <f>SUM(day_cash_behind[[#Headers],[Material Cost]]:day_cash_behind[[#This Row],[Material Cost]])</f>
        <v>188468.3098591548</v>
      </c>
      <c r="L143" s="3">
        <f>SUM(day_cash_behind[[#Headers],[Equipment Cost]]:day_cash_behind[[#This Row],[Equipment Cost]])</f>
        <v>62999.999999999898</v>
      </c>
      <c r="M143" s="3">
        <f>SUM(day_cash_behind[[#Headers],[Sub Cost]]:day_cash_behind[[#This Row],[Sub Cost]])</f>
        <v>113034.05572755421</v>
      </c>
      <c r="N143" s="3">
        <f>SUM(day_cash_behind[[#Headers],[Other Cost]]:day_cash_behind[[#This Row],[Other Cost]])</f>
        <v>41833.333333333248</v>
      </c>
      <c r="O143" s="3">
        <f>SUM(day_cash_behind[[#This Row],[Cumulative Labor]:[Cumulative Other]])</f>
        <v>935905.19134629669</v>
      </c>
      <c r="P143" s="3">
        <f>SUM(day_cash_behind[[#Headers],[Revenue]]:day_cash_behind[[#This Row],[Revenue]])</f>
        <v>284007.73038009298</v>
      </c>
    </row>
    <row r="144" spans="2:16" x14ac:dyDescent="0.45">
      <c r="B144" s="1">
        <v>46527</v>
      </c>
      <c r="C144" s="4">
        <f>SUMIFS(schedule[Labor CPP], schedule[Start Date],"&lt;="&amp;day_cash_behind[[#This Row],[Date]], schedule[Finish Date],"&gt;="&amp;day_cash_behind[[#This Row],[Date]])</f>
        <v>2844.8046771193194</v>
      </c>
      <c r="D144" s="4">
        <f>SUMIFS(schedule[Material CPP], schedule[Start Date],"&lt;="&amp;day_cash_behind[[#This Row],[Date]]-$D$2, schedule[Finish Date],"&gt;="&amp;day_cash_behind[[#This Row],[Date]]-$D$2)</f>
        <v>1373.2394366197184</v>
      </c>
      <c r="E144" s="4">
        <f>SUMIFS(schedule[Equipment CPP], schedule[Start Date],"&lt;="&amp;day_cash_behind[[#This Row],[Date]]-$E$2, schedule[Finish Date],"&gt;="&amp;day_cash_behind[[#This Row],[Date]]-$E$2)</f>
        <v>471.69811320754718</v>
      </c>
      <c r="F144" s="4">
        <f>SUMIFS(schedule[Sub CPP], schedule[Start Date],"&lt;="&amp;day_cash_behind[[#This Row],[Date]]-$F$2, schedule[Finish Date],"&gt;="&amp;day_cash_behind[[#This Row],[Date]]-$F$2)</f>
        <v>5758.5139318885449</v>
      </c>
      <c r="G144" s="3">
        <f>SUMIFS(schedule[Other CPP], schedule[Start Date],"&lt;="&amp;day_cash_behind[[#This Row],[Date]]-$G$2, schedule[Finish Date],"&gt;="&amp;day_cash_behind[[#This Row],[Date]]-$G$2)</f>
        <v>314.46540880503147</v>
      </c>
      <c r="H144" s="3">
        <f>SUM(day_cash_behind[[#This Row],[Labor Cost]:[Other Cost]])</f>
        <v>10762.721567640163</v>
      </c>
      <c r="I144" s="3">
        <f>SUMIFS(schedule[Revenue per Day], schedule[Start Date],"&lt;="&amp;day_cash_behind[[#This Row],[Date]]-$I$2, schedule[Finish Date],"&gt;="&amp;day_cash_behind[[#This Row],[Date]]-$I$2)</f>
        <v>14201.068210929292</v>
      </c>
      <c r="J144" s="3">
        <f>SUM(day_cash_behind[[#Headers],[Labor Cost]]:day_cash_behind[[#This Row],[Labor Cost]])</f>
        <v>532414.29710337392</v>
      </c>
      <c r="K144" s="3">
        <f>SUM(day_cash_behind[[#Headers],[Material Cost]]:day_cash_behind[[#This Row],[Material Cost]])</f>
        <v>189841.54929577452</v>
      </c>
      <c r="L144" s="3">
        <f>SUM(day_cash_behind[[#Headers],[Equipment Cost]]:day_cash_behind[[#This Row],[Equipment Cost]])</f>
        <v>63471.698113207443</v>
      </c>
      <c r="M144" s="3">
        <f>SUM(day_cash_behind[[#Headers],[Sub Cost]]:day_cash_behind[[#This Row],[Sub Cost]])</f>
        <v>118792.56965944276</v>
      </c>
      <c r="N144" s="3">
        <f>SUM(day_cash_behind[[#Headers],[Other Cost]]:day_cash_behind[[#This Row],[Other Cost]])</f>
        <v>42147.798742138279</v>
      </c>
      <c r="O144" s="3">
        <f>SUM(day_cash_behind[[#This Row],[Cumulative Labor]:[Cumulative Other]])</f>
        <v>946667.91291393701</v>
      </c>
      <c r="P144" s="3">
        <f>SUM(day_cash_behind[[#Headers],[Revenue]]:day_cash_behind[[#This Row],[Revenue]])</f>
        <v>298208.79859102226</v>
      </c>
    </row>
    <row r="145" spans="2:16" x14ac:dyDescent="0.45">
      <c r="B145" s="1">
        <v>46528</v>
      </c>
      <c r="C145" s="4">
        <f>SUMIFS(schedule[Labor CPP], schedule[Start Date],"&lt;="&amp;day_cash_behind[[#This Row],[Date]], schedule[Finish Date],"&gt;="&amp;day_cash_behind[[#This Row],[Date]])</f>
        <v>2844.8046771193194</v>
      </c>
      <c r="D145" s="4">
        <f>SUMIFS(schedule[Material CPP], schedule[Start Date],"&lt;="&amp;day_cash_behind[[#This Row],[Date]]-$D$2, schedule[Finish Date],"&gt;="&amp;day_cash_behind[[#This Row],[Date]]-$D$2)</f>
        <v>1373.2394366197184</v>
      </c>
      <c r="E145" s="4">
        <f>SUMIFS(schedule[Equipment CPP], schedule[Start Date],"&lt;="&amp;day_cash_behind[[#This Row],[Date]]-$E$2, schedule[Finish Date],"&gt;="&amp;day_cash_behind[[#This Row],[Date]]-$E$2)</f>
        <v>471.69811320754718</v>
      </c>
      <c r="F145" s="4">
        <f>SUMIFS(schedule[Sub CPP], schedule[Start Date],"&lt;="&amp;day_cash_behind[[#This Row],[Date]]-$F$2, schedule[Finish Date],"&gt;="&amp;day_cash_behind[[#This Row],[Date]]-$F$2)</f>
        <v>5758.5139318885449</v>
      </c>
      <c r="G145" s="3">
        <f>SUMIFS(schedule[Other CPP], schedule[Start Date],"&lt;="&amp;day_cash_behind[[#This Row],[Date]]-$G$2, schedule[Finish Date],"&gt;="&amp;day_cash_behind[[#This Row],[Date]]-$G$2)</f>
        <v>314.46540880503147</v>
      </c>
      <c r="H145" s="3">
        <f>SUM(day_cash_behind[[#This Row],[Labor Cost]:[Other Cost]])</f>
        <v>10762.721567640163</v>
      </c>
      <c r="I145" s="3">
        <f>SUMIFS(schedule[Revenue per Day], schedule[Start Date],"&lt;="&amp;day_cash_behind[[#This Row],[Date]]-$I$2, schedule[Finish Date],"&gt;="&amp;day_cash_behind[[#This Row],[Date]]-$I$2)</f>
        <v>8327.3840004029771</v>
      </c>
      <c r="J145" s="3">
        <f>SUM(day_cash_behind[[#Headers],[Labor Cost]]:day_cash_behind[[#This Row],[Labor Cost]])</f>
        <v>535259.10178049328</v>
      </c>
      <c r="K145" s="3">
        <f>SUM(day_cash_behind[[#Headers],[Material Cost]]:day_cash_behind[[#This Row],[Material Cost]])</f>
        <v>191214.78873239423</v>
      </c>
      <c r="L145" s="3">
        <f>SUM(day_cash_behind[[#Headers],[Equipment Cost]]:day_cash_behind[[#This Row],[Equipment Cost]])</f>
        <v>63943.396226414989</v>
      </c>
      <c r="M145" s="3">
        <f>SUM(day_cash_behind[[#Headers],[Sub Cost]]:day_cash_behind[[#This Row],[Sub Cost]])</f>
        <v>124551.08359133131</v>
      </c>
      <c r="N145" s="3">
        <f>SUM(day_cash_behind[[#Headers],[Other Cost]]:day_cash_behind[[#This Row],[Other Cost]])</f>
        <v>42462.264150943309</v>
      </c>
      <c r="O145" s="3">
        <f>SUM(day_cash_behind[[#This Row],[Cumulative Labor]:[Cumulative Other]])</f>
        <v>957430.63448157697</v>
      </c>
      <c r="P145" s="3">
        <f>SUM(day_cash_behind[[#Headers],[Revenue]]:day_cash_behind[[#This Row],[Revenue]])</f>
        <v>306536.18259142525</v>
      </c>
    </row>
    <row r="146" spans="2:16" x14ac:dyDescent="0.45">
      <c r="B146" s="1">
        <v>46529</v>
      </c>
      <c r="C146" s="4">
        <f>SUMIFS(schedule[Labor CPP], schedule[Start Date],"&lt;="&amp;day_cash_behind[[#This Row],[Date]], schedule[Finish Date],"&gt;="&amp;day_cash_behind[[#This Row],[Date]])</f>
        <v>2844.8046771193194</v>
      </c>
      <c r="D146" s="4">
        <f>SUMIFS(schedule[Material CPP], schedule[Start Date],"&lt;="&amp;day_cash_behind[[#This Row],[Date]]-$D$2, schedule[Finish Date],"&gt;="&amp;day_cash_behind[[#This Row],[Date]]-$D$2)</f>
        <v>1373.2394366197184</v>
      </c>
      <c r="E146" s="4">
        <f>SUMIFS(schedule[Equipment CPP], schedule[Start Date],"&lt;="&amp;day_cash_behind[[#This Row],[Date]]-$E$2, schedule[Finish Date],"&gt;="&amp;day_cash_behind[[#This Row],[Date]]-$E$2)</f>
        <v>471.69811320754718</v>
      </c>
      <c r="F146" s="4">
        <f>SUMIFS(schedule[Sub CPP], schedule[Start Date],"&lt;="&amp;day_cash_behind[[#This Row],[Date]]-$F$2, schedule[Finish Date],"&gt;="&amp;day_cash_behind[[#This Row],[Date]]-$F$2)</f>
        <v>5758.5139318885449</v>
      </c>
      <c r="G146" s="3">
        <f>SUMIFS(schedule[Other CPP], schedule[Start Date],"&lt;="&amp;day_cash_behind[[#This Row],[Date]]-$G$2, schedule[Finish Date],"&gt;="&amp;day_cash_behind[[#This Row],[Date]]-$G$2)</f>
        <v>314.46540880503147</v>
      </c>
      <c r="H146" s="3">
        <f>SUM(day_cash_behind[[#This Row],[Labor Cost]:[Other Cost]])</f>
        <v>10762.721567640163</v>
      </c>
      <c r="I146" s="3">
        <f>SUMIFS(schedule[Revenue per Day], schedule[Start Date],"&lt;="&amp;day_cash_behind[[#This Row],[Date]]-$I$2, schedule[Finish Date],"&gt;="&amp;day_cash_behind[[#This Row],[Date]]-$I$2)</f>
        <v>8327.3840004029771</v>
      </c>
      <c r="J146" s="3">
        <f>SUM(day_cash_behind[[#Headers],[Labor Cost]]:day_cash_behind[[#This Row],[Labor Cost]])</f>
        <v>538103.90645761264</v>
      </c>
      <c r="K146" s="3">
        <f>SUM(day_cash_behind[[#Headers],[Material Cost]]:day_cash_behind[[#This Row],[Material Cost]])</f>
        <v>192588.02816901394</v>
      </c>
      <c r="L146" s="3">
        <f>SUM(day_cash_behind[[#Headers],[Equipment Cost]]:day_cash_behind[[#This Row],[Equipment Cost]])</f>
        <v>64415.094339622534</v>
      </c>
      <c r="M146" s="3">
        <f>SUM(day_cash_behind[[#Headers],[Sub Cost]]:day_cash_behind[[#This Row],[Sub Cost]])</f>
        <v>130309.59752321985</v>
      </c>
      <c r="N146" s="3">
        <f>SUM(day_cash_behind[[#Headers],[Other Cost]]:day_cash_behind[[#This Row],[Other Cost]])</f>
        <v>42776.729559748339</v>
      </c>
      <c r="O146" s="3">
        <f>SUM(day_cash_behind[[#This Row],[Cumulative Labor]:[Cumulative Other]])</f>
        <v>968193.35604921728</v>
      </c>
      <c r="P146" s="3">
        <f>SUM(day_cash_behind[[#Headers],[Revenue]]:day_cash_behind[[#This Row],[Revenue]])</f>
        <v>314863.56659182825</v>
      </c>
    </row>
    <row r="147" spans="2:16" x14ac:dyDescent="0.45">
      <c r="B147" s="1">
        <v>46530</v>
      </c>
      <c r="C147" s="4">
        <f>SUMIFS(schedule[Labor CPP], schedule[Start Date],"&lt;="&amp;day_cash_behind[[#This Row],[Date]], schedule[Finish Date],"&gt;="&amp;day_cash_behind[[#This Row],[Date]])</f>
        <v>2844.8046771193194</v>
      </c>
      <c r="D147" s="4">
        <f>SUMIFS(schedule[Material CPP], schedule[Start Date],"&lt;="&amp;day_cash_behind[[#This Row],[Date]]-$D$2, schedule[Finish Date],"&gt;="&amp;day_cash_behind[[#This Row],[Date]]-$D$2)</f>
        <v>1373.2394366197184</v>
      </c>
      <c r="E147" s="4">
        <f>SUMIFS(schedule[Equipment CPP], schedule[Start Date],"&lt;="&amp;day_cash_behind[[#This Row],[Date]]-$E$2, schedule[Finish Date],"&gt;="&amp;day_cash_behind[[#This Row],[Date]]-$E$2)</f>
        <v>471.69811320754718</v>
      </c>
      <c r="F147" s="4">
        <f>SUMIFS(schedule[Sub CPP], schedule[Start Date],"&lt;="&amp;day_cash_behind[[#This Row],[Date]]-$F$2, schedule[Finish Date],"&gt;="&amp;day_cash_behind[[#This Row],[Date]]-$F$2)</f>
        <v>5758.5139318885449</v>
      </c>
      <c r="G147" s="3">
        <f>SUMIFS(schedule[Other CPP], schedule[Start Date],"&lt;="&amp;day_cash_behind[[#This Row],[Date]]-$G$2, schedule[Finish Date],"&gt;="&amp;day_cash_behind[[#This Row],[Date]]-$G$2)</f>
        <v>314.46540880503147</v>
      </c>
      <c r="H147" s="3">
        <f>SUM(day_cash_behind[[#This Row],[Labor Cost]:[Other Cost]])</f>
        <v>10762.721567640163</v>
      </c>
      <c r="I147" s="3">
        <f>SUMIFS(schedule[Revenue per Day], schedule[Start Date],"&lt;="&amp;day_cash_behind[[#This Row],[Date]]-$I$2, schedule[Finish Date],"&gt;="&amp;day_cash_behind[[#This Row],[Date]]-$I$2)</f>
        <v>8327.3840004029771</v>
      </c>
      <c r="J147" s="3">
        <f>SUM(day_cash_behind[[#Headers],[Labor Cost]]:day_cash_behind[[#This Row],[Labor Cost]])</f>
        <v>540948.711134732</v>
      </c>
      <c r="K147" s="3">
        <f>SUM(day_cash_behind[[#Headers],[Material Cost]]:day_cash_behind[[#This Row],[Material Cost]])</f>
        <v>193961.26760563365</v>
      </c>
      <c r="L147" s="3">
        <f>SUM(day_cash_behind[[#Headers],[Equipment Cost]]:day_cash_behind[[#This Row],[Equipment Cost]])</f>
        <v>64886.792452830079</v>
      </c>
      <c r="M147" s="3">
        <f>SUM(day_cash_behind[[#Headers],[Sub Cost]]:day_cash_behind[[#This Row],[Sub Cost]])</f>
        <v>136068.11145510839</v>
      </c>
      <c r="N147" s="3">
        <f>SUM(day_cash_behind[[#Headers],[Other Cost]]:day_cash_behind[[#This Row],[Other Cost]])</f>
        <v>43091.194968553369</v>
      </c>
      <c r="O147" s="3">
        <f>SUM(day_cash_behind[[#This Row],[Cumulative Labor]:[Cumulative Other]])</f>
        <v>978956.0776168576</v>
      </c>
      <c r="P147" s="3">
        <f>SUM(day_cash_behind[[#Headers],[Revenue]]:day_cash_behind[[#This Row],[Revenue]])</f>
        <v>323190.95059223124</v>
      </c>
    </row>
    <row r="148" spans="2:16" x14ac:dyDescent="0.45">
      <c r="B148" s="1">
        <v>46531</v>
      </c>
      <c r="C148" s="4">
        <f>SUMIFS(schedule[Labor CPP], schedule[Start Date],"&lt;="&amp;day_cash_behind[[#This Row],[Date]], schedule[Finish Date],"&gt;="&amp;day_cash_behind[[#This Row],[Date]])</f>
        <v>2844.8046771193194</v>
      </c>
      <c r="D148" s="4">
        <f>SUMIFS(schedule[Material CPP], schedule[Start Date],"&lt;="&amp;day_cash_behind[[#This Row],[Date]]-$D$2, schedule[Finish Date],"&gt;="&amp;day_cash_behind[[#This Row],[Date]]-$D$2)</f>
        <v>1373.2394366197184</v>
      </c>
      <c r="E148" s="4">
        <f>SUMIFS(schedule[Equipment CPP], schedule[Start Date],"&lt;="&amp;day_cash_behind[[#This Row],[Date]]-$E$2, schedule[Finish Date],"&gt;="&amp;day_cash_behind[[#This Row],[Date]]-$E$2)</f>
        <v>471.69811320754718</v>
      </c>
      <c r="F148" s="4">
        <f>SUMIFS(schedule[Sub CPP], schedule[Start Date],"&lt;="&amp;day_cash_behind[[#This Row],[Date]]-$F$2, schedule[Finish Date],"&gt;="&amp;day_cash_behind[[#This Row],[Date]]-$F$2)</f>
        <v>5758.5139318885449</v>
      </c>
      <c r="G148" s="3">
        <f>SUMIFS(schedule[Other CPP], schedule[Start Date],"&lt;="&amp;day_cash_behind[[#This Row],[Date]]-$G$2, schedule[Finish Date],"&gt;="&amp;day_cash_behind[[#This Row],[Date]]-$G$2)</f>
        <v>314.46540880503147</v>
      </c>
      <c r="H148" s="3">
        <f>SUM(day_cash_behind[[#This Row],[Labor Cost]:[Other Cost]])</f>
        <v>10762.721567640163</v>
      </c>
      <c r="I148" s="3">
        <f>SUMIFS(schedule[Revenue per Day], schedule[Start Date],"&lt;="&amp;day_cash_behind[[#This Row],[Date]]-$I$2, schedule[Finish Date],"&gt;="&amp;day_cash_behind[[#This Row],[Date]]-$I$2)</f>
        <v>8327.3840004029771</v>
      </c>
      <c r="J148" s="3">
        <f>SUM(day_cash_behind[[#Headers],[Labor Cost]]:day_cash_behind[[#This Row],[Labor Cost]])</f>
        <v>543793.51581185136</v>
      </c>
      <c r="K148" s="3">
        <f>SUM(day_cash_behind[[#Headers],[Material Cost]]:day_cash_behind[[#This Row],[Material Cost]])</f>
        <v>195334.50704225336</v>
      </c>
      <c r="L148" s="3">
        <f>SUM(day_cash_behind[[#Headers],[Equipment Cost]]:day_cash_behind[[#This Row],[Equipment Cost]])</f>
        <v>65358.490566037624</v>
      </c>
      <c r="M148" s="3">
        <f>SUM(day_cash_behind[[#Headers],[Sub Cost]]:day_cash_behind[[#This Row],[Sub Cost]])</f>
        <v>141826.62538699692</v>
      </c>
      <c r="N148" s="3">
        <f>SUM(day_cash_behind[[#Headers],[Other Cost]]:day_cash_behind[[#This Row],[Other Cost]])</f>
        <v>43405.660377358399</v>
      </c>
      <c r="O148" s="3">
        <f>SUM(day_cash_behind[[#This Row],[Cumulative Labor]:[Cumulative Other]])</f>
        <v>989718.79918449768</v>
      </c>
      <c r="P148" s="3">
        <f>SUM(day_cash_behind[[#Headers],[Revenue]]:day_cash_behind[[#This Row],[Revenue]])</f>
        <v>331518.33459263423</v>
      </c>
    </row>
    <row r="149" spans="2:16" x14ac:dyDescent="0.45">
      <c r="B149" s="1">
        <v>46532</v>
      </c>
      <c r="C149" s="4">
        <f>SUMIFS(schedule[Labor CPP], schedule[Start Date],"&lt;="&amp;day_cash_behind[[#This Row],[Date]], schedule[Finish Date],"&gt;="&amp;day_cash_behind[[#This Row],[Date]])</f>
        <v>2844.8046771193194</v>
      </c>
      <c r="D149" s="4">
        <f>SUMIFS(schedule[Material CPP], schedule[Start Date],"&lt;="&amp;day_cash_behind[[#This Row],[Date]]-$D$2, schedule[Finish Date],"&gt;="&amp;day_cash_behind[[#This Row],[Date]]-$D$2)</f>
        <v>1373.2394366197184</v>
      </c>
      <c r="E149" s="4">
        <f>SUMIFS(schedule[Equipment CPP], schedule[Start Date],"&lt;="&amp;day_cash_behind[[#This Row],[Date]]-$E$2, schedule[Finish Date],"&gt;="&amp;day_cash_behind[[#This Row],[Date]]-$E$2)</f>
        <v>471.69811320754718</v>
      </c>
      <c r="F149" s="4">
        <f>SUMIFS(schedule[Sub CPP], schedule[Start Date],"&lt;="&amp;day_cash_behind[[#This Row],[Date]]-$F$2, schedule[Finish Date],"&gt;="&amp;day_cash_behind[[#This Row],[Date]]-$F$2)</f>
        <v>5758.5139318885449</v>
      </c>
      <c r="G149" s="3">
        <f>SUMIFS(schedule[Other CPP], schedule[Start Date],"&lt;="&amp;day_cash_behind[[#This Row],[Date]]-$G$2, schedule[Finish Date],"&gt;="&amp;day_cash_behind[[#This Row],[Date]]-$G$2)</f>
        <v>314.46540880503147</v>
      </c>
      <c r="H149" s="3">
        <f>SUM(day_cash_behind[[#This Row],[Labor Cost]:[Other Cost]])</f>
        <v>10762.721567640163</v>
      </c>
      <c r="I149" s="3">
        <f>SUMIFS(schedule[Revenue per Day], schedule[Start Date],"&lt;="&amp;day_cash_behind[[#This Row],[Date]]-$I$2, schedule[Finish Date],"&gt;="&amp;day_cash_behind[[#This Row],[Date]]-$I$2)</f>
        <v>8327.3840004029771</v>
      </c>
      <c r="J149" s="3">
        <f>SUM(day_cash_behind[[#Headers],[Labor Cost]]:day_cash_behind[[#This Row],[Labor Cost]])</f>
        <v>546638.32048897073</v>
      </c>
      <c r="K149" s="3">
        <f>SUM(day_cash_behind[[#Headers],[Material Cost]]:day_cash_behind[[#This Row],[Material Cost]])</f>
        <v>196707.74647887307</v>
      </c>
      <c r="L149" s="3">
        <f>SUM(day_cash_behind[[#Headers],[Equipment Cost]]:day_cash_behind[[#This Row],[Equipment Cost]])</f>
        <v>65830.18867924517</v>
      </c>
      <c r="M149" s="3">
        <f>SUM(day_cash_behind[[#Headers],[Sub Cost]]:day_cash_behind[[#This Row],[Sub Cost]])</f>
        <v>147585.13931888546</v>
      </c>
      <c r="N149" s="3">
        <f>SUM(day_cash_behind[[#Headers],[Other Cost]]:day_cash_behind[[#This Row],[Other Cost]])</f>
        <v>43720.125786163429</v>
      </c>
      <c r="O149" s="3">
        <f>SUM(day_cash_behind[[#This Row],[Cumulative Labor]:[Cumulative Other]])</f>
        <v>1000481.5207521378</v>
      </c>
      <c r="P149" s="3">
        <f>SUM(day_cash_behind[[#Headers],[Revenue]]:day_cash_behind[[#This Row],[Revenue]])</f>
        <v>339845.71859303722</v>
      </c>
    </row>
    <row r="150" spans="2:16" x14ac:dyDescent="0.45">
      <c r="B150" s="1">
        <v>46533</v>
      </c>
      <c r="C150" s="4">
        <f>SUMIFS(schedule[Labor CPP], schedule[Start Date],"&lt;="&amp;day_cash_behind[[#This Row],[Date]], schedule[Finish Date],"&gt;="&amp;day_cash_behind[[#This Row],[Date]])</f>
        <v>2844.8046771193194</v>
      </c>
      <c r="D150" s="4">
        <f>SUMIFS(schedule[Material CPP], schedule[Start Date],"&lt;="&amp;day_cash_behind[[#This Row],[Date]]-$D$2, schedule[Finish Date],"&gt;="&amp;day_cash_behind[[#This Row],[Date]]-$D$2)</f>
        <v>1373.2394366197184</v>
      </c>
      <c r="E150" s="4">
        <f>SUMIFS(schedule[Equipment CPP], schedule[Start Date],"&lt;="&amp;day_cash_behind[[#This Row],[Date]]-$E$2, schedule[Finish Date],"&gt;="&amp;day_cash_behind[[#This Row],[Date]]-$E$2)</f>
        <v>471.69811320754718</v>
      </c>
      <c r="F150" s="4">
        <f>SUMIFS(schedule[Sub CPP], schedule[Start Date],"&lt;="&amp;day_cash_behind[[#This Row],[Date]]-$F$2, schedule[Finish Date],"&gt;="&amp;day_cash_behind[[#This Row],[Date]]-$F$2)</f>
        <v>5758.5139318885449</v>
      </c>
      <c r="G150" s="3">
        <f>SUMIFS(schedule[Other CPP], schedule[Start Date],"&lt;="&amp;day_cash_behind[[#This Row],[Date]]-$G$2, schedule[Finish Date],"&gt;="&amp;day_cash_behind[[#This Row],[Date]]-$G$2)</f>
        <v>314.46540880503147</v>
      </c>
      <c r="H150" s="3">
        <f>SUM(day_cash_behind[[#This Row],[Labor Cost]:[Other Cost]])</f>
        <v>10762.721567640163</v>
      </c>
      <c r="I150" s="3">
        <f>SUMIFS(schedule[Revenue per Day], schedule[Start Date],"&lt;="&amp;day_cash_behind[[#This Row],[Date]]-$I$2, schedule[Finish Date],"&gt;="&amp;day_cash_behind[[#This Row],[Date]]-$I$2)</f>
        <v>8327.3840004029771</v>
      </c>
      <c r="J150" s="3">
        <f>SUM(day_cash_behind[[#Headers],[Labor Cost]]:day_cash_behind[[#This Row],[Labor Cost]])</f>
        <v>549483.12516609009</v>
      </c>
      <c r="K150" s="3">
        <f>SUM(day_cash_behind[[#Headers],[Material Cost]]:day_cash_behind[[#This Row],[Material Cost]])</f>
        <v>198080.98591549278</v>
      </c>
      <c r="L150" s="3">
        <f>SUM(day_cash_behind[[#Headers],[Equipment Cost]]:day_cash_behind[[#This Row],[Equipment Cost]])</f>
        <v>66301.886792452715</v>
      </c>
      <c r="M150" s="3">
        <f>SUM(day_cash_behind[[#Headers],[Sub Cost]]:day_cash_behind[[#This Row],[Sub Cost]])</f>
        <v>153343.65325077399</v>
      </c>
      <c r="N150" s="3">
        <f>SUM(day_cash_behind[[#Headers],[Other Cost]]:day_cash_behind[[#This Row],[Other Cost]])</f>
        <v>44034.59119496846</v>
      </c>
      <c r="O150" s="3">
        <f>SUM(day_cash_behind[[#This Row],[Cumulative Labor]:[Cumulative Other]])</f>
        <v>1011244.242319778</v>
      </c>
      <c r="P150" s="3">
        <f>SUM(day_cash_behind[[#Headers],[Revenue]]:day_cash_behind[[#This Row],[Revenue]])</f>
        <v>348173.10259344021</v>
      </c>
    </row>
    <row r="151" spans="2:16" x14ac:dyDescent="0.45">
      <c r="B151" s="1">
        <v>46534</v>
      </c>
      <c r="C151" s="4">
        <f>SUMIFS(schedule[Labor CPP], schedule[Start Date],"&lt;="&amp;day_cash_behind[[#This Row],[Date]], schedule[Finish Date],"&gt;="&amp;day_cash_behind[[#This Row],[Date]])</f>
        <v>2844.8046771193194</v>
      </c>
      <c r="D151" s="4">
        <f>SUMIFS(schedule[Material CPP], schedule[Start Date],"&lt;="&amp;day_cash_behind[[#This Row],[Date]]-$D$2, schedule[Finish Date],"&gt;="&amp;day_cash_behind[[#This Row],[Date]]-$D$2)</f>
        <v>1373.2394366197184</v>
      </c>
      <c r="E151" s="4">
        <f>SUMIFS(schedule[Equipment CPP], schedule[Start Date],"&lt;="&amp;day_cash_behind[[#This Row],[Date]]-$E$2, schedule[Finish Date],"&gt;="&amp;day_cash_behind[[#This Row],[Date]]-$E$2)</f>
        <v>471.69811320754718</v>
      </c>
      <c r="F151" s="4">
        <f>SUMIFS(schedule[Sub CPP], schedule[Start Date],"&lt;="&amp;day_cash_behind[[#This Row],[Date]]-$F$2, schedule[Finish Date],"&gt;="&amp;day_cash_behind[[#This Row],[Date]]-$F$2)</f>
        <v>5758.5139318885449</v>
      </c>
      <c r="G151" s="3">
        <f>SUMIFS(schedule[Other CPP], schedule[Start Date],"&lt;="&amp;day_cash_behind[[#This Row],[Date]]-$G$2, schedule[Finish Date],"&gt;="&amp;day_cash_behind[[#This Row],[Date]]-$G$2)</f>
        <v>314.46540880503147</v>
      </c>
      <c r="H151" s="3">
        <f>SUM(day_cash_behind[[#This Row],[Labor Cost]:[Other Cost]])</f>
        <v>10762.721567640163</v>
      </c>
      <c r="I151" s="3">
        <f>SUMIFS(schedule[Revenue per Day], schedule[Start Date],"&lt;="&amp;day_cash_behind[[#This Row],[Date]]-$I$2, schedule[Finish Date],"&gt;="&amp;day_cash_behind[[#This Row],[Date]]-$I$2)</f>
        <v>8327.3840004029771</v>
      </c>
      <c r="J151" s="3">
        <f>SUM(day_cash_behind[[#Headers],[Labor Cost]]:day_cash_behind[[#This Row],[Labor Cost]])</f>
        <v>552327.92984320945</v>
      </c>
      <c r="K151" s="3">
        <f>SUM(day_cash_behind[[#Headers],[Material Cost]]:day_cash_behind[[#This Row],[Material Cost]])</f>
        <v>199454.22535211249</v>
      </c>
      <c r="L151" s="3">
        <f>SUM(day_cash_behind[[#Headers],[Equipment Cost]]:day_cash_behind[[#This Row],[Equipment Cost]])</f>
        <v>66773.58490566026</v>
      </c>
      <c r="M151" s="3">
        <f>SUM(day_cash_behind[[#Headers],[Sub Cost]]:day_cash_behind[[#This Row],[Sub Cost]])</f>
        <v>159102.16718266252</v>
      </c>
      <c r="N151" s="3">
        <f>SUM(day_cash_behind[[#Headers],[Other Cost]]:day_cash_behind[[#This Row],[Other Cost]])</f>
        <v>44349.05660377349</v>
      </c>
      <c r="O151" s="3">
        <f>SUM(day_cash_behind[[#This Row],[Cumulative Labor]:[Cumulative Other]])</f>
        <v>1022006.9638874182</v>
      </c>
      <c r="P151" s="3">
        <f>SUM(day_cash_behind[[#Headers],[Revenue]]:day_cash_behind[[#This Row],[Revenue]])</f>
        <v>356500.4865938432</v>
      </c>
    </row>
    <row r="152" spans="2:16" x14ac:dyDescent="0.45">
      <c r="B152" s="1">
        <v>46535</v>
      </c>
      <c r="C152" s="4">
        <f>SUMIFS(schedule[Labor CPP], schedule[Start Date],"&lt;="&amp;day_cash_behind[[#This Row],[Date]], schedule[Finish Date],"&gt;="&amp;day_cash_behind[[#This Row],[Date]])</f>
        <v>2844.8046771193194</v>
      </c>
      <c r="D152" s="4">
        <f>SUMIFS(schedule[Material CPP], schedule[Start Date],"&lt;="&amp;day_cash_behind[[#This Row],[Date]]-$D$2, schedule[Finish Date],"&gt;="&amp;day_cash_behind[[#This Row],[Date]]-$D$2)</f>
        <v>1373.2394366197184</v>
      </c>
      <c r="E152" s="4">
        <f>SUMIFS(schedule[Equipment CPP], schedule[Start Date],"&lt;="&amp;day_cash_behind[[#This Row],[Date]]-$E$2, schedule[Finish Date],"&gt;="&amp;day_cash_behind[[#This Row],[Date]]-$E$2)</f>
        <v>471.69811320754718</v>
      </c>
      <c r="F152" s="4">
        <f>SUMIFS(schedule[Sub CPP], schedule[Start Date],"&lt;="&amp;day_cash_behind[[#This Row],[Date]]-$F$2, schedule[Finish Date],"&gt;="&amp;day_cash_behind[[#This Row],[Date]]-$F$2)</f>
        <v>5758.5139318885449</v>
      </c>
      <c r="G152" s="3">
        <f>SUMIFS(schedule[Other CPP], schedule[Start Date],"&lt;="&amp;day_cash_behind[[#This Row],[Date]]-$G$2, schedule[Finish Date],"&gt;="&amp;day_cash_behind[[#This Row],[Date]]-$G$2)</f>
        <v>314.46540880503147</v>
      </c>
      <c r="H152" s="3">
        <f>SUM(day_cash_behind[[#This Row],[Labor Cost]:[Other Cost]])</f>
        <v>10762.721567640163</v>
      </c>
      <c r="I152" s="3">
        <f>SUMIFS(schedule[Revenue per Day], schedule[Start Date],"&lt;="&amp;day_cash_behind[[#This Row],[Date]]-$I$2, schedule[Finish Date],"&gt;="&amp;day_cash_behind[[#This Row],[Date]]-$I$2)</f>
        <v>6648.6883482290632</v>
      </c>
      <c r="J152" s="3">
        <f>SUM(day_cash_behind[[#Headers],[Labor Cost]]:day_cash_behind[[#This Row],[Labor Cost]])</f>
        <v>555172.73452032881</v>
      </c>
      <c r="K152" s="3">
        <f>SUM(day_cash_behind[[#Headers],[Material Cost]]:day_cash_behind[[#This Row],[Material Cost]])</f>
        <v>200827.46478873221</v>
      </c>
      <c r="L152" s="3">
        <f>SUM(day_cash_behind[[#Headers],[Equipment Cost]]:day_cash_behind[[#This Row],[Equipment Cost]])</f>
        <v>67245.283018867805</v>
      </c>
      <c r="M152" s="3">
        <f>SUM(day_cash_behind[[#Headers],[Sub Cost]]:day_cash_behind[[#This Row],[Sub Cost]])</f>
        <v>164860.68111455106</v>
      </c>
      <c r="N152" s="3">
        <f>SUM(day_cash_behind[[#Headers],[Other Cost]]:day_cash_behind[[#This Row],[Other Cost]])</f>
        <v>44663.52201257852</v>
      </c>
      <c r="O152" s="3">
        <f>SUM(day_cash_behind[[#This Row],[Cumulative Labor]:[Cumulative Other]])</f>
        <v>1032769.6854550585</v>
      </c>
      <c r="P152" s="3">
        <f>SUM(day_cash_behind[[#Headers],[Revenue]]:day_cash_behind[[#This Row],[Revenue]])</f>
        <v>363149.17494207225</v>
      </c>
    </row>
    <row r="153" spans="2:16" x14ac:dyDescent="0.45">
      <c r="B153" s="1">
        <v>46536</v>
      </c>
      <c r="C153" s="4">
        <f>SUMIFS(schedule[Labor CPP], schedule[Start Date],"&lt;="&amp;day_cash_behind[[#This Row],[Date]], schedule[Finish Date],"&gt;="&amp;day_cash_behind[[#This Row],[Date]])</f>
        <v>2844.8046771193194</v>
      </c>
      <c r="D153" s="4">
        <f>SUMIFS(schedule[Material CPP], schedule[Start Date],"&lt;="&amp;day_cash_behind[[#This Row],[Date]]-$D$2, schedule[Finish Date],"&gt;="&amp;day_cash_behind[[#This Row],[Date]]-$D$2)</f>
        <v>1373.2394366197184</v>
      </c>
      <c r="E153" s="4">
        <f>SUMIFS(schedule[Equipment CPP], schedule[Start Date],"&lt;="&amp;day_cash_behind[[#This Row],[Date]]-$E$2, schedule[Finish Date],"&gt;="&amp;day_cash_behind[[#This Row],[Date]]-$E$2)</f>
        <v>471.69811320754718</v>
      </c>
      <c r="F153" s="4">
        <f>SUMIFS(schedule[Sub CPP], schedule[Start Date],"&lt;="&amp;day_cash_behind[[#This Row],[Date]]-$F$2, schedule[Finish Date],"&gt;="&amp;day_cash_behind[[#This Row],[Date]]-$F$2)</f>
        <v>5758.5139318885449</v>
      </c>
      <c r="G153" s="3">
        <f>SUMIFS(schedule[Other CPP], schedule[Start Date],"&lt;="&amp;day_cash_behind[[#This Row],[Date]]-$G$2, schedule[Finish Date],"&gt;="&amp;day_cash_behind[[#This Row],[Date]]-$G$2)</f>
        <v>314.46540880503147</v>
      </c>
      <c r="H153" s="3">
        <f>SUM(day_cash_behind[[#This Row],[Labor Cost]:[Other Cost]])</f>
        <v>10762.721567640163</v>
      </c>
      <c r="I153" s="3">
        <f>SUMIFS(schedule[Revenue per Day], schedule[Start Date],"&lt;="&amp;day_cash_behind[[#This Row],[Date]]-$I$2, schedule[Finish Date],"&gt;="&amp;day_cash_behind[[#This Row],[Date]]-$I$2)</f>
        <v>6648.6883482290632</v>
      </c>
      <c r="J153" s="3">
        <f>SUM(day_cash_behind[[#Headers],[Labor Cost]]:day_cash_behind[[#This Row],[Labor Cost]])</f>
        <v>558017.53919744818</v>
      </c>
      <c r="K153" s="3">
        <f>SUM(day_cash_behind[[#Headers],[Material Cost]]:day_cash_behind[[#This Row],[Material Cost]])</f>
        <v>202200.70422535192</v>
      </c>
      <c r="L153" s="3">
        <f>SUM(day_cash_behind[[#Headers],[Equipment Cost]]:day_cash_behind[[#This Row],[Equipment Cost]])</f>
        <v>67716.981132075351</v>
      </c>
      <c r="M153" s="3">
        <f>SUM(day_cash_behind[[#Headers],[Sub Cost]]:day_cash_behind[[#This Row],[Sub Cost]])</f>
        <v>170619.19504643959</v>
      </c>
      <c r="N153" s="3">
        <f>SUM(day_cash_behind[[#Headers],[Other Cost]]:day_cash_behind[[#This Row],[Other Cost]])</f>
        <v>44977.98742138355</v>
      </c>
      <c r="O153" s="3">
        <f>SUM(day_cash_behind[[#This Row],[Cumulative Labor]:[Cumulative Other]])</f>
        <v>1043532.4070226984</v>
      </c>
      <c r="P153" s="3">
        <f>SUM(day_cash_behind[[#Headers],[Revenue]]:day_cash_behind[[#This Row],[Revenue]])</f>
        <v>369797.86329030129</v>
      </c>
    </row>
    <row r="154" spans="2:16" x14ac:dyDescent="0.45">
      <c r="B154" s="1">
        <v>46537</v>
      </c>
      <c r="C154" s="4">
        <f>SUMIFS(schedule[Labor CPP], schedule[Start Date],"&lt;="&amp;day_cash_behind[[#This Row],[Date]], schedule[Finish Date],"&gt;="&amp;day_cash_behind[[#This Row],[Date]])</f>
        <v>2844.8046771193194</v>
      </c>
      <c r="D154" s="4">
        <f>SUMIFS(schedule[Material CPP], schedule[Start Date],"&lt;="&amp;day_cash_behind[[#This Row],[Date]]-$D$2, schedule[Finish Date],"&gt;="&amp;day_cash_behind[[#This Row],[Date]]-$D$2)</f>
        <v>1373.2394366197184</v>
      </c>
      <c r="E154" s="4">
        <f>SUMIFS(schedule[Equipment CPP], schedule[Start Date],"&lt;="&amp;day_cash_behind[[#This Row],[Date]]-$E$2, schedule[Finish Date],"&gt;="&amp;day_cash_behind[[#This Row],[Date]]-$E$2)</f>
        <v>471.69811320754718</v>
      </c>
      <c r="F154" s="4">
        <f>SUMIFS(schedule[Sub CPP], schedule[Start Date],"&lt;="&amp;day_cash_behind[[#This Row],[Date]]-$F$2, schedule[Finish Date],"&gt;="&amp;day_cash_behind[[#This Row],[Date]]-$F$2)</f>
        <v>5758.5139318885449</v>
      </c>
      <c r="G154" s="3">
        <f>SUMIFS(schedule[Other CPP], schedule[Start Date],"&lt;="&amp;day_cash_behind[[#This Row],[Date]]-$G$2, schedule[Finish Date],"&gt;="&amp;day_cash_behind[[#This Row],[Date]]-$G$2)</f>
        <v>314.46540880503147</v>
      </c>
      <c r="H154" s="3">
        <f>SUM(day_cash_behind[[#This Row],[Labor Cost]:[Other Cost]])</f>
        <v>10762.721567640163</v>
      </c>
      <c r="I154" s="3">
        <f>SUMIFS(schedule[Revenue per Day], schedule[Start Date],"&lt;="&amp;day_cash_behind[[#This Row],[Date]]-$I$2, schedule[Finish Date],"&gt;="&amp;day_cash_behind[[#This Row],[Date]]-$I$2)</f>
        <v>6648.6883482290632</v>
      </c>
      <c r="J154" s="3">
        <f>SUM(day_cash_behind[[#Headers],[Labor Cost]]:day_cash_behind[[#This Row],[Labor Cost]])</f>
        <v>560862.34387456754</v>
      </c>
      <c r="K154" s="3">
        <f>SUM(day_cash_behind[[#Headers],[Material Cost]]:day_cash_behind[[#This Row],[Material Cost]])</f>
        <v>203573.94366197163</v>
      </c>
      <c r="L154" s="3">
        <f>SUM(day_cash_behind[[#Headers],[Equipment Cost]]:day_cash_behind[[#This Row],[Equipment Cost]])</f>
        <v>68188.679245282896</v>
      </c>
      <c r="M154" s="3">
        <f>SUM(day_cash_behind[[#Headers],[Sub Cost]]:day_cash_behind[[#This Row],[Sub Cost]])</f>
        <v>176377.70897832813</v>
      </c>
      <c r="N154" s="3">
        <f>SUM(day_cash_behind[[#Headers],[Other Cost]]:day_cash_behind[[#This Row],[Other Cost]])</f>
        <v>45292.45283018858</v>
      </c>
      <c r="O154" s="3">
        <f>SUM(day_cash_behind[[#This Row],[Cumulative Labor]:[Cumulative Other]])</f>
        <v>1054295.1285903389</v>
      </c>
      <c r="P154" s="3">
        <f>SUM(day_cash_behind[[#Headers],[Revenue]]:day_cash_behind[[#This Row],[Revenue]])</f>
        <v>376446.55163853033</v>
      </c>
    </row>
    <row r="155" spans="2:16" x14ac:dyDescent="0.45">
      <c r="B155" s="1">
        <v>46538</v>
      </c>
      <c r="C155" s="4">
        <f>SUMIFS(schedule[Labor CPP], schedule[Start Date],"&lt;="&amp;day_cash_behind[[#This Row],[Date]], schedule[Finish Date],"&gt;="&amp;day_cash_behind[[#This Row],[Date]])</f>
        <v>2844.8046771193194</v>
      </c>
      <c r="D155" s="4">
        <f>SUMIFS(schedule[Material CPP], schedule[Start Date],"&lt;="&amp;day_cash_behind[[#This Row],[Date]]-$D$2, schedule[Finish Date],"&gt;="&amp;day_cash_behind[[#This Row],[Date]]-$D$2)</f>
        <v>1373.2394366197184</v>
      </c>
      <c r="E155" s="4">
        <f>SUMIFS(schedule[Equipment CPP], schedule[Start Date],"&lt;="&amp;day_cash_behind[[#This Row],[Date]]-$E$2, schedule[Finish Date],"&gt;="&amp;day_cash_behind[[#This Row],[Date]]-$E$2)</f>
        <v>471.69811320754718</v>
      </c>
      <c r="F155" s="4">
        <f>SUMIFS(schedule[Sub CPP], schedule[Start Date],"&lt;="&amp;day_cash_behind[[#This Row],[Date]]-$F$2, schedule[Finish Date],"&gt;="&amp;day_cash_behind[[#This Row],[Date]]-$F$2)</f>
        <v>5758.5139318885449</v>
      </c>
      <c r="G155" s="3">
        <f>SUMIFS(schedule[Other CPP], schedule[Start Date],"&lt;="&amp;day_cash_behind[[#This Row],[Date]]-$G$2, schedule[Finish Date],"&gt;="&amp;day_cash_behind[[#This Row],[Date]]-$G$2)</f>
        <v>314.46540880503147</v>
      </c>
      <c r="H155" s="3">
        <f>SUM(day_cash_behind[[#This Row],[Labor Cost]:[Other Cost]])</f>
        <v>10762.721567640163</v>
      </c>
      <c r="I155" s="3">
        <f>SUMIFS(schedule[Revenue per Day], schedule[Start Date],"&lt;="&amp;day_cash_behind[[#This Row],[Date]]-$I$2, schedule[Finish Date],"&gt;="&amp;day_cash_behind[[#This Row],[Date]]-$I$2)</f>
        <v>6648.6883482290632</v>
      </c>
      <c r="J155" s="3">
        <f>SUM(day_cash_behind[[#Headers],[Labor Cost]]:day_cash_behind[[#This Row],[Labor Cost]])</f>
        <v>563707.1485516869</v>
      </c>
      <c r="K155" s="3">
        <f>SUM(day_cash_behind[[#Headers],[Material Cost]]:day_cash_behind[[#This Row],[Material Cost]])</f>
        <v>204947.18309859134</v>
      </c>
      <c r="L155" s="3">
        <f>SUM(day_cash_behind[[#Headers],[Equipment Cost]]:day_cash_behind[[#This Row],[Equipment Cost]])</f>
        <v>68660.377358490441</v>
      </c>
      <c r="M155" s="3">
        <f>SUM(day_cash_behind[[#Headers],[Sub Cost]]:day_cash_behind[[#This Row],[Sub Cost]])</f>
        <v>182136.22291021666</v>
      </c>
      <c r="N155" s="3">
        <f>SUM(day_cash_behind[[#Headers],[Other Cost]]:day_cash_behind[[#This Row],[Other Cost]])</f>
        <v>45606.91823899361</v>
      </c>
      <c r="O155" s="3">
        <f>SUM(day_cash_behind[[#This Row],[Cumulative Labor]:[Cumulative Other]])</f>
        <v>1065057.8501579789</v>
      </c>
      <c r="P155" s="3">
        <f>SUM(day_cash_behind[[#Headers],[Revenue]]:day_cash_behind[[#This Row],[Revenue]])</f>
        <v>383095.23998675938</v>
      </c>
    </row>
    <row r="156" spans="2:16" x14ac:dyDescent="0.45">
      <c r="B156" s="1">
        <v>46539</v>
      </c>
      <c r="C156" s="4">
        <f>SUMIFS(schedule[Labor CPP], schedule[Start Date],"&lt;="&amp;day_cash_behind[[#This Row],[Date]], schedule[Finish Date],"&gt;="&amp;day_cash_behind[[#This Row],[Date]])</f>
        <v>2844.8046771193194</v>
      </c>
      <c r="D156" s="4">
        <f>SUMIFS(schedule[Material CPP], schedule[Start Date],"&lt;="&amp;day_cash_behind[[#This Row],[Date]]-$D$2, schedule[Finish Date],"&gt;="&amp;day_cash_behind[[#This Row],[Date]]-$D$2)</f>
        <v>1373.2394366197184</v>
      </c>
      <c r="E156" s="4">
        <f>SUMIFS(schedule[Equipment CPP], schedule[Start Date],"&lt;="&amp;day_cash_behind[[#This Row],[Date]]-$E$2, schedule[Finish Date],"&gt;="&amp;day_cash_behind[[#This Row],[Date]]-$E$2)</f>
        <v>471.69811320754718</v>
      </c>
      <c r="F156" s="4">
        <f>SUMIFS(schedule[Sub CPP], schedule[Start Date],"&lt;="&amp;day_cash_behind[[#This Row],[Date]]-$F$2, schedule[Finish Date],"&gt;="&amp;day_cash_behind[[#This Row],[Date]]-$F$2)</f>
        <v>7695.1336501984042</v>
      </c>
      <c r="G156" s="3">
        <f>SUMIFS(schedule[Other CPP], schedule[Start Date],"&lt;="&amp;day_cash_behind[[#This Row],[Date]]-$G$2, schedule[Finish Date],"&gt;="&amp;day_cash_behind[[#This Row],[Date]]-$G$2)</f>
        <v>314.46540880503147</v>
      </c>
      <c r="H156" s="3">
        <f>SUM(day_cash_behind[[#This Row],[Labor Cost]:[Other Cost]])</f>
        <v>12699.341285950022</v>
      </c>
      <c r="I156" s="3">
        <f>SUMIFS(schedule[Revenue per Day], schedule[Start Date],"&lt;="&amp;day_cash_behind[[#This Row],[Date]]-$I$2, schedule[Finish Date],"&gt;="&amp;day_cash_behind[[#This Row],[Date]]-$I$2)</f>
        <v>6648.6883482290632</v>
      </c>
      <c r="J156" s="3">
        <f>SUM(day_cash_behind[[#Headers],[Labor Cost]]:day_cash_behind[[#This Row],[Labor Cost]])</f>
        <v>566551.95322880626</v>
      </c>
      <c r="K156" s="3">
        <f>SUM(day_cash_behind[[#Headers],[Material Cost]]:day_cash_behind[[#This Row],[Material Cost]])</f>
        <v>206320.42253521105</v>
      </c>
      <c r="L156" s="3">
        <f>SUM(day_cash_behind[[#Headers],[Equipment Cost]]:day_cash_behind[[#This Row],[Equipment Cost]])</f>
        <v>69132.075471697986</v>
      </c>
      <c r="M156" s="3">
        <f>SUM(day_cash_behind[[#Headers],[Sub Cost]]:day_cash_behind[[#This Row],[Sub Cost]])</f>
        <v>189831.35656041506</v>
      </c>
      <c r="N156" s="3">
        <f>SUM(day_cash_behind[[#Headers],[Other Cost]]:day_cash_behind[[#This Row],[Other Cost]])</f>
        <v>45921.383647798641</v>
      </c>
      <c r="O156" s="3">
        <f>SUM(day_cash_behind[[#This Row],[Cumulative Labor]:[Cumulative Other]])</f>
        <v>1077757.191443929</v>
      </c>
      <c r="P156" s="3">
        <f>SUM(day_cash_behind[[#Headers],[Revenue]]:day_cash_behind[[#This Row],[Revenue]])</f>
        <v>389743.92833498842</v>
      </c>
    </row>
    <row r="157" spans="2:16" x14ac:dyDescent="0.45">
      <c r="B157" s="1">
        <v>46540</v>
      </c>
      <c r="C157" s="4">
        <f>SUMIFS(schedule[Labor CPP], schedule[Start Date],"&lt;="&amp;day_cash_behind[[#This Row],[Date]], schedule[Finish Date],"&gt;="&amp;day_cash_behind[[#This Row],[Date]])</f>
        <v>2844.8046771193194</v>
      </c>
      <c r="D157" s="4">
        <f>SUMIFS(schedule[Material CPP], schedule[Start Date],"&lt;="&amp;day_cash_behind[[#This Row],[Date]]-$D$2, schedule[Finish Date],"&gt;="&amp;day_cash_behind[[#This Row],[Date]]-$D$2)</f>
        <v>1373.2394366197184</v>
      </c>
      <c r="E157" s="4">
        <f>SUMIFS(schedule[Equipment CPP], schedule[Start Date],"&lt;="&amp;day_cash_behind[[#This Row],[Date]]-$E$2, schedule[Finish Date],"&gt;="&amp;day_cash_behind[[#This Row],[Date]]-$E$2)</f>
        <v>471.69811320754718</v>
      </c>
      <c r="F157" s="4">
        <f>SUMIFS(schedule[Sub CPP], schedule[Start Date],"&lt;="&amp;day_cash_behind[[#This Row],[Date]]-$F$2, schedule[Finish Date],"&gt;="&amp;day_cash_behind[[#This Row],[Date]]-$F$2)</f>
        <v>5489.2512972572276</v>
      </c>
      <c r="G157" s="3">
        <f>SUMIFS(schedule[Other CPP], schedule[Start Date],"&lt;="&amp;day_cash_behind[[#This Row],[Date]]-$G$2, schedule[Finish Date],"&gt;="&amp;day_cash_behind[[#This Row],[Date]]-$G$2)</f>
        <v>314.46540880503147</v>
      </c>
      <c r="H157" s="3">
        <f>SUM(day_cash_behind[[#This Row],[Labor Cost]:[Other Cost]])</f>
        <v>10493.458933008844</v>
      </c>
      <c r="I157" s="3">
        <f>SUMIFS(schedule[Revenue per Day], schedule[Start Date],"&lt;="&amp;day_cash_behind[[#This Row],[Date]]-$I$2, schedule[Finish Date],"&gt;="&amp;day_cash_behind[[#This Row],[Date]]-$I$2)</f>
        <v>6648.6883482290632</v>
      </c>
      <c r="J157" s="3">
        <f>SUM(day_cash_behind[[#Headers],[Labor Cost]]:day_cash_behind[[#This Row],[Labor Cost]])</f>
        <v>569396.75790592562</v>
      </c>
      <c r="K157" s="3">
        <f>SUM(day_cash_behind[[#Headers],[Material Cost]]:day_cash_behind[[#This Row],[Material Cost]])</f>
        <v>207693.66197183076</v>
      </c>
      <c r="L157" s="3">
        <f>SUM(day_cash_behind[[#Headers],[Equipment Cost]]:day_cash_behind[[#This Row],[Equipment Cost]])</f>
        <v>69603.773584905532</v>
      </c>
      <c r="M157" s="3">
        <f>SUM(day_cash_behind[[#Headers],[Sub Cost]]:day_cash_behind[[#This Row],[Sub Cost]])</f>
        <v>195320.60785767229</v>
      </c>
      <c r="N157" s="3">
        <f>SUM(day_cash_behind[[#Headers],[Other Cost]]:day_cash_behind[[#This Row],[Other Cost]])</f>
        <v>46235.849056603671</v>
      </c>
      <c r="O157" s="3">
        <f>SUM(day_cash_behind[[#This Row],[Cumulative Labor]:[Cumulative Other]])</f>
        <v>1088250.6503769378</v>
      </c>
      <c r="P157" s="3">
        <f>SUM(day_cash_behind[[#Headers],[Revenue]]:day_cash_behind[[#This Row],[Revenue]])</f>
        <v>396392.61668321746</v>
      </c>
    </row>
    <row r="158" spans="2:16" x14ac:dyDescent="0.45">
      <c r="B158" s="1">
        <v>46541</v>
      </c>
      <c r="C158" s="4">
        <f>SUMIFS(schedule[Labor CPP], schedule[Start Date],"&lt;="&amp;day_cash_behind[[#This Row],[Date]], schedule[Finish Date],"&gt;="&amp;day_cash_behind[[#This Row],[Date]])</f>
        <v>2844.8046771193194</v>
      </c>
      <c r="D158" s="4">
        <f>SUMIFS(schedule[Material CPP], schedule[Start Date],"&lt;="&amp;day_cash_behind[[#This Row],[Date]]-$D$2, schedule[Finish Date],"&gt;="&amp;day_cash_behind[[#This Row],[Date]]-$D$2)</f>
        <v>1373.2394366197184</v>
      </c>
      <c r="E158" s="4">
        <f>SUMIFS(schedule[Equipment CPP], schedule[Start Date],"&lt;="&amp;day_cash_behind[[#This Row],[Date]]-$E$2, schedule[Finish Date],"&gt;="&amp;day_cash_behind[[#This Row],[Date]]-$E$2)</f>
        <v>471.69811320754718</v>
      </c>
      <c r="F158" s="4">
        <f>SUMIFS(schedule[Sub CPP], schedule[Start Date],"&lt;="&amp;day_cash_behind[[#This Row],[Date]]-$F$2, schedule[Finish Date],"&gt;="&amp;day_cash_behind[[#This Row],[Date]]-$F$2)</f>
        <v>5489.2512972572276</v>
      </c>
      <c r="G158" s="3">
        <f>SUMIFS(schedule[Other CPP], schedule[Start Date],"&lt;="&amp;day_cash_behind[[#This Row],[Date]]-$G$2, schedule[Finish Date],"&gt;="&amp;day_cash_behind[[#This Row],[Date]]-$G$2)</f>
        <v>314.46540880503147</v>
      </c>
      <c r="H158" s="3">
        <f>SUM(day_cash_behind[[#This Row],[Labor Cost]:[Other Cost]])</f>
        <v>10493.458933008844</v>
      </c>
      <c r="I158" s="3">
        <f>SUMIFS(schedule[Revenue per Day], schedule[Start Date],"&lt;="&amp;day_cash_behind[[#This Row],[Date]]-$I$2, schedule[Finish Date],"&gt;="&amp;day_cash_behind[[#This Row],[Date]]-$I$2)</f>
        <v>13625.432534275575</v>
      </c>
      <c r="J158" s="3">
        <f>SUM(day_cash_behind[[#Headers],[Labor Cost]]:day_cash_behind[[#This Row],[Labor Cost]])</f>
        <v>572241.56258304499</v>
      </c>
      <c r="K158" s="3">
        <f>SUM(day_cash_behind[[#Headers],[Material Cost]]:day_cash_behind[[#This Row],[Material Cost]])</f>
        <v>209066.90140845047</v>
      </c>
      <c r="L158" s="3">
        <f>SUM(day_cash_behind[[#Headers],[Equipment Cost]]:day_cash_behind[[#This Row],[Equipment Cost]])</f>
        <v>70075.471698113077</v>
      </c>
      <c r="M158" s="3">
        <f>SUM(day_cash_behind[[#Headers],[Sub Cost]]:day_cash_behind[[#This Row],[Sub Cost]])</f>
        <v>200809.85915492952</v>
      </c>
      <c r="N158" s="3">
        <f>SUM(day_cash_behind[[#Headers],[Other Cost]]:day_cash_behind[[#This Row],[Other Cost]])</f>
        <v>46550.314465408701</v>
      </c>
      <c r="O158" s="3">
        <f>SUM(day_cash_behind[[#This Row],[Cumulative Labor]:[Cumulative Other]])</f>
        <v>1098744.1093099467</v>
      </c>
      <c r="P158" s="3">
        <f>SUM(day_cash_behind[[#Headers],[Revenue]]:day_cash_behind[[#This Row],[Revenue]])</f>
        <v>410018.04921749304</v>
      </c>
    </row>
    <row r="159" spans="2:16" x14ac:dyDescent="0.45">
      <c r="B159" s="1">
        <v>46542</v>
      </c>
      <c r="C159" s="4">
        <f>SUMIFS(schedule[Labor CPP], schedule[Start Date],"&lt;="&amp;day_cash_behind[[#This Row],[Date]], schedule[Finish Date],"&gt;="&amp;day_cash_behind[[#This Row],[Date]])</f>
        <v>2844.8046771193194</v>
      </c>
      <c r="D159" s="4">
        <f>SUMIFS(schedule[Material CPP], schedule[Start Date],"&lt;="&amp;day_cash_behind[[#This Row],[Date]]-$D$2, schedule[Finish Date],"&gt;="&amp;day_cash_behind[[#This Row],[Date]]-$D$2)</f>
        <v>1373.2394366197184</v>
      </c>
      <c r="E159" s="4">
        <f>SUMIFS(schedule[Equipment CPP], schedule[Start Date],"&lt;="&amp;day_cash_behind[[#This Row],[Date]]-$E$2, schedule[Finish Date],"&gt;="&amp;day_cash_behind[[#This Row],[Date]]-$E$2)</f>
        <v>471.69811320754718</v>
      </c>
      <c r="F159" s="4">
        <f>SUMIFS(schedule[Sub CPP], schedule[Start Date],"&lt;="&amp;day_cash_behind[[#This Row],[Date]]-$F$2, schedule[Finish Date],"&gt;="&amp;day_cash_behind[[#This Row],[Date]]-$F$2)</f>
        <v>12739.251297257228</v>
      </c>
      <c r="G159" s="3">
        <f>SUMIFS(schedule[Other CPP], schedule[Start Date],"&lt;="&amp;day_cash_behind[[#This Row],[Date]]-$G$2, schedule[Finish Date],"&gt;="&amp;day_cash_behind[[#This Row],[Date]]-$G$2)</f>
        <v>314.46540880503147</v>
      </c>
      <c r="H159" s="3">
        <f>SUM(day_cash_behind[[#This Row],[Labor Cost]:[Other Cost]])</f>
        <v>17743.458933008842</v>
      </c>
      <c r="I159" s="3">
        <f>SUMIFS(schedule[Revenue per Day], schedule[Start Date],"&lt;="&amp;day_cash_behind[[#This Row],[Date]]-$I$2, schedule[Finish Date],"&gt;="&amp;day_cash_behind[[#This Row],[Date]]-$I$2)</f>
        <v>9069.5114816439964</v>
      </c>
      <c r="J159" s="3">
        <f>SUM(day_cash_behind[[#Headers],[Labor Cost]]:day_cash_behind[[#This Row],[Labor Cost]])</f>
        <v>575086.36726016435</v>
      </c>
      <c r="K159" s="3">
        <f>SUM(day_cash_behind[[#Headers],[Material Cost]]:day_cash_behind[[#This Row],[Material Cost]])</f>
        <v>210440.14084507019</v>
      </c>
      <c r="L159" s="3">
        <f>SUM(day_cash_behind[[#Headers],[Equipment Cost]]:day_cash_behind[[#This Row],[Equipment Cost]])</f>
        <v>70547.169811320622</v>
      </c>
      <c r="M159" s="3">
        <f>SUM(day_cash_behind[[#Headers],[Sub Cost]]:day_cash_behind[[#This Row],[Sub Cost]])</f>
        <v>213549.11045218675</v>
      </c>
      <c r="N159" s="3">
        <f>SUM(day_cash_behind[[#Headers],[Other Cost]]:day_cash_behind[[#This Row],[Other Cost]])</f>
        <v>46864.779874213731</v>
      </c>
      <c r="O159" s="3">
        <f>SUM(day_cash_behind[[#This Row],[Cumulative Labor]:[Cumulative Other]])</f>
        <v>1116487.5682429555</v>
      </c>
      <c r="P159" s="3">
        <f>SUM(day_cash_behind[[#Headers],[Revenue]]:day_cash_behind[[#This Row],[Revenue]])</f>
        <v>419087.56069913704</v>
      </c>
    </row>
    <row r="160" spans="2:16" x14ac:dyDescent="0.45">
      <c r="B160" s="1">
        <v>46543</v>
      </c>
      <c r="C160" s="4">
        <f>SUMIFS(schedule[Labor CPP], schedule[Start Date],"&lt;="&amp;day_cash_behind[[#This Row],[Date]], schedule[Finish Date],"&gt;="&amp;day_cash_behind[[#This Row],[Date]])</f>
        <v>2844.8046771193194</v>
      </c>
      <c r="D160" s="4">
        <f>SUMIFS(schedule[Material CPP], schedule[Start Date],"&lt;="&amp;day_cash_behind[[#This Row],[Date]]-$D$2, schedule[Finish Date],"&gt;="&amp;day_cash_behind[[#This Row],[Date]]-$D$2)</f>
        <v>1373.2394366197184</v>
      </c>
      <c r="E160" s="4">
        <f>SUMIFS(schedule[Equipment CPP], schedule[Start Date],"&lt;="&amp;day_cash_behind[[#This Row],[Date]]-$E$2, schedule[Finish Date],"&gt;="&amp;day_cash_behind[[#This Row],[Date]]-$E$2)</f>
        <v>471.69811320754718</v>
      </c>
      <c r="F160" s="4">
        <f>SUMIFS(schedule[Sub CPP], schedule[Start Date],"&lt;="&amp;day_cash_behind[[#This Row],[Date]]-$F$2, schedule[Finish Date],"&gt;="&amp;day_cash_behind[[#This Row],[Date]]-$F$2)</f>
        <v>12739.251297257228</v>
      </c>
      <c r="G160" s="3">
        <f>SUMIFS(schedule[Other CPP], schedule[Start Date],"&lt;="&amp;day_cash_behind[[#This Row],[Date]]-$G$2, schedule[Finish Date],"&gt;="&amp;day_cash_behind[[#This Row],[Date]]-$G$2)</f>
        <v>314.46540880503147</v>
      </c>
      <c r="H160" s="3">
        <f>SUM(day_cash_behind[[#This Row],[Labor Cost]:[Other Cost]])</f>
        <v>17743.458933008842</v>
      </c>
      <c r="I160" s="3">
        <f>SUMIFS(schedule[Revenue per Day], schedule[Start Date],"&lt;="&amp;day_cash_behind[[#This Row],[Date]]-$I$2, schedule[Finish Date],"&gt;="&amp;day_cash_behind[[#This Row],[Date]]-$I$2)</f>
        <v>9069.5114816439964</v>
      </c>
      <c r="J160" s="3">
        <f>SUM(day_cash_behind[[#Headers],[Labor Cost]]:day_cash_behind[[#This Row],[Labor Cost]])</f>
        <v>577931.17193728371</v>
      </c>
      <c r="K160" s="3">
        <f>SUM(day_cash_behind[[#Headers],[Material Cost]]:day_cash_behind[[#This Row],[Material Cost]])</f>
        <v>211813.3802816899</v>
      </c>
      <c r="L160" s="3">
        <f>SUM(day_cash_behind[[#Headers],[Equipment Cost]]:day_cash_behind[[#This Row],[Equipment Cost]])</f>
        <v>71018.867924528167</v>
      </c>
      <c r="M160" s="3">
        <f>SUM(day_cash_behind[[#Headers],[Sub Cost]]:day_cash_behind[[#This Row],[Sub Cost]])</f>
        <v>226288.36174944398</v>
      </c>
      <c r="N160" s="3">
        <f>SUM(day_cash_behind[[#Headers],[Other Cost]]:day_cash_behind[[#This Row],[Other Cost]])</f>
        <v>47179.245283018761</v>
      </c>
      <c r="O160" s="3">
        <f>SUM(day_cash_behind[[#This Row],[Cumulative Labor]:[Cumulative Other]])</f>
        <v>1134231.0271759646</v>
      </c>
      <c r="P160" s="3">
        <f>SUM(day_cash_behind[[#Headers],[Revenue]]:day_cash_behind[[#This Row],[Revenue]])</f>
        <v>428157.07218078105</v>
      </c>
    </row>
    <row r="161" spans="2:16" x14ac:dyDescent="0.45">
      <c r="B161" s="1">
        <v>46544</v>
      </c>
      <c r="C161" s="4">
        <f>SUMIFS(schedule[Labor CPP], schedule[Start Date],"&lt;="&amp;day_cash_behind[[#This Row],[Date]], schedule[Finish Date],"&gt;="&amp;day_cash_behind[[#This Row],[Date]])</f>
        <v>2844.8046771193194</v>
      </c>
      <c r="D161" s="4">
        <f>SUMIFS(schedule[Material CPP], schedule[Start Date],"&lt;="&amp;day_cash_behind[[#This Row],[Date]]-$D$2, schedule[Finish Date],"&gt;="&amp;day_cash_behind[[#This Row],[Date]]-$D$2)</f>
        <v>1373.2394366197184</v>
      </c>
      <c r="E161" s="4">
        <f>SUMIFS(schedule[Equipment CPP], schedule[Start Date],"&lt;="&amp;day_cash_behind[[#This Row],[Date]]-$E$2, schedule[Finish Date],"&gt;="&amp;day_cash_behind[[#This Row],[Date]]-$E$2)</f>
        <v>471.69811320754718</v>
      </c>
      <c r="F161" s="4">
        <f>SUMIFS(schedule[Sub CPP], schedule[Start Date],"&lt;="&amp;day_cash_behind[[#This Row],[Date]]-$F$2, schedule[Finish Date],"&gt;="&amp;day_cash_behind[[#This Row],[Date]]-$F$2)</f>
        <v>12739.251297257228</v>
      </c>
      <c r="G161" s="3">
        <f>SUMIFS(schedule[Other CPP], schedule[Start Date],"&lt;="&amp;day_cash_behind[[#This Row],[Date]]-$G$2, schedule[Finish Date],"&gt;="&amp;day_cash_behind[[#This Row],[Date]]-$G$2)</f>
        <v>314.46540880503147</v>
      </c>
      <c r="H161" s="3">
        <f>SUM(day_cash_behind[[#This Row],[Labor Cost]:[Other Cost]])</f>
        <v>17743.458933008842</v>
      </c>
      <c r="I161" s="3">
        <f>SUMIFS(schedule[Revenue per Day], schedule[Start Date],"&lt;="&amp;day_cash_behind[[#This Row],[Date]]-$I$2, schedule[Finish Date],"&gt;="&amp;day_cash_behind[[#This Row],[Date]]-$I$2)</f>
        <v>9069.5114816439964</v>
      </c>
      <c r="J161" s="3">
        <f>SUM(day_cash_behind[[#Headers],[Labor Cost]]:day_cash_behind[[#This Row],[Labor Cost]])</f>
        <v>580775.97661440307</v>
      </c>
      <c r="K161" s="3">
        <f>SUM(day_cash_behind[[#Headers],[Material Cost]]:day_cash_behind[[#This Row],[Material Cost]])</f>
        <v>213186.61971830961</v>
      </c>
      <c r="L161" s="3">
        <f>SUM(day_cash_behind[[#Headers],[Equipment Cost]]:day_cash_behind[[#This Row],[Equipment Cost]])</f>
        <v>71490.566037735713</v>
      </c>
      <c r="M161" s="3">
        <f>SUM(day_cash_behind[[#Headers],[Sub Cost]]:day_cash_behind[[#This Row],[Sub Cost]])</f>
        <v>239027.61304670121</v>
      </c>
      <c r="N161" s="3">
        <f>SUM(day_cash_behind[[#Headers],[Other Cost]]:day_cash_behind[[#This Row],[Other Cost]])</f>
        <v>47493.710691823791</v>
      </c>
      <c r="O161" s="3">
        <f>SUM(day_cash_behind[[#This Row],[Cumulative Labor]:[Cumulative Other]])</f>
        <v>1151974.4861089734</v>
      </c>
      <c r="P161" s="3">
        <f>SUM(day_cash_behind[[#Headers],[Revenue]]:day_cash_behind[[#This Row],[Revenue]])</f>
        <v>437226.58366242505</v>
      </c>
    </row>
    <row r="162" spans="2:16" x14ac:dyDescent="0.45">
      <c r="B162" s="1">
        <v>46545</v>
      </c>
      <c r="C162" s="4">
        <f>SUMIFS(schedule[Labor CPP], schedule[Start Date],"&lt;="&amp;day_cash_behind[[#This Row],[Date]], schedule[Finish Date],"&gt;="&amp;day_cash_behind[[#This Row],[Date]])</f>
        <v>2844.8046771193194</v>
      </c>
      <c r="D162" s="4">
        <f>SUMIFS(schedule[Material CPP], schedule[Start Date],"&lt;="&amp;day_cash_behind[[#This Row],[Date]]-$D$2, schedule[Finish Date],"&gt;="&amp;day_cash_behind[[#This Row],[Date]]-$D$2)</f>
        <v>1373.2394366197184</v>
      </c>
      <c r="E162" s="4">
        <f>SUMIFS(schedule[Equipment CPP], schedule[Start Date],"&lt;="&amp;day_cash_behind[[#This Row],[Date]]-$E$2, schedule[Finish Date],"&gt;="&amp;day_cash_behind[[#This Row],[Date]]-$E$2)</f>
        <v>471.69811320754718</v>
      </c>
      <c r="F162" s="4">
        <f>SUMIFS(schedule[Sub CPP], schedule[Start Date],"&lt;="&amp;day_cash_behind[[#This Row],[Date]]-$F$2, schedule[Finish Date],"&gt;="&amp;day_cash_behind[[#This Row],[Date]]-$F$2)</f>
        <v>12739.251297257228</v>
      </c>
      <c r="G162" s="3">
        <f>SUMIFS(schedule[Other CPP], schedule[Start Date],"&lt;="&amp;day_cash_behind[[#This Row],[Date]]-$G$2, schedule[Finish Date],"&gt;="&amp;day_cash_behind[[#This Row],[Date]]-$G$2)</f>
        <v>314.46540880503147</v>
      </c>
      <c r="H162" s="3">
        <f>SUM(day_cash_behind[[#This Row],[Labor Cost]:[Other Cost]])</f>
        <v>17743.458933008842</v>
      </c>
      <c r="I162" s="3">
        <f>SUMIFS(schedule[Revenue per Day], schedule[Start Date],"&lt;="&amp;day_cash_behind[[#This Row],[Date]]-$I$2, schedule[Finish Date],"&gt;="&amp;day_cash_behind[[#This Row],[Date]]-$I$2)</f>
        <v>9069.5114816439964</v>
      </c>
      <c r="J162" s="3">
        <f>SUM(day_cash_behind[[#Headers],[Labor Cost]]:day_cash_behind[[#This Row],[Labor Cost]])</f>
        <v>583620.78129152243</v>
      </c>
      <c r="K162" s="3">
        <f>SUM(day_cash_behind[[#Headers],[Material Cost]]:day_cash_behind[[#This Row],[Material Cost]])</f>
        <v>214559.85915492932</v>
      </c>
      <c r="L162" s="3">
        <f>SUM(day_cash_behind[[#Headers],[Equipment Cost]]:day_cash_behind[[#This Row],[Equipment Cost]])</f>
        <v>71962.264150943258</v>
      </c>
      <c r="M162" s="3">
        <f>SUM(day_cash_behind[[#Headers],[Sub Cost]]:day_cash_behind[[#This Row],[Sub Cost]])</f>
        <v>251766.86434395844</v>
      </c>
      <c r="N162" s="3">
        <f>SUM(day_cash_behind[[#Headers],[Other Cost]]:day_cash_behind[[#This Row],[Other Cost]])</f>
        <v>47808.176100628822</v>
      </c>
      <c r="O162" s="3">
        <f>SUM(day_cash_behind[[#This Row],[Cumulative Labor]:[Cumulative Other]])</f>
        <v>1169717.9450419825</v>
      </c>
      <c r="P162" s="3">
        <f>SUM(day_cash_behind[[#Headers],[Revenue]]:day_cash_behind[[#This Row],[Revenue]])</f>
        <v>446296.09514406906</v>
      </c>
    </row>
    <row r="163" spans="2:16" x14ac:dyDescent="0.45">
      <c r="B163" s="1">
        <v>46546</v>
      </c>
      <c r="C163" s="4">
        <f>SUMIFS(schedule[Labor CPP], schedule[Start Date],"&lt;="&amp;day_cash_behind[[#This Row],[Date]], schedule[Finish Date],"&gt;="&amp;day_cash_behind[[#This Row],[Date]])</f>
        <v>2844.8046771193194</v>
      </c>
      <c r="D163" s="4">
        <f>SUMIFS(schedule[Material CPP], schedule[Start Date],"&lt;="&amp;day_cash_behind[[#This Row],[Date]]-$D$2, schedule[Finish Date],"&gt;="&amp;day_cash_behind[[#This Row],[Date]]-$D$2)</f>
        <v>1373.2394366197184</v>
      </c>
      <c r="E163" s="4">
        <f>SUMIFS(schedule[Equipment CPP], schedule[Start Date],"&lt;="&amp;day_cash_behind[[#This Row],[Date]]-$E$2, schedule[Finish Date],"&gt;="&amp;day_cash_behind[[#This Row],[Date]]-$E$2)</f>
        <v>471.69811320754718</v>
      </c>
      <c r="F163" s="4">
        <f>SUMIFS(schedule[Sub CPP], schedule[Start Date],"&lt;="&amp;day_cash_behind[[#This Row],[Date]]-$F$2, schedule[Finish Date],"&gt;="&amp;day_cash_behind[[#This Row],[Date]]-$F$2)</f>
        <v>12739.251297257228</v>
      </c>
      <c r="G163" s="3">
        <f>SUMIFS(schedule[Other CPP], schedule[Start Date],"&lt;="&amp;day_cash_behind[[#This Row],[Date]]-$G$2, schedule[Finish Date],"&gt;="&amp;day_cash_behind[[#This Row],[Date]]-$G$2)</f>
        <v>314.46540880503147</v>
      </c>
      <c r="H163" s="3">
        <f>SUM(day_cash_behind[[#This Row],[Labor Cost]:[Other Cost]])</f>
        <v>17743.458933008842</v>
      </c>
      <c r="I163" s="3">
        <f>SUMIFS(schedule[Revenue per Day], schedule[Start Date],"&lt;="&amp;day_cash_behind[[#This Row],[Date]]-$I$2, schedule[Finish Date],"&gt;="&amp;day_cash_behind[[#This Row],[Date]]-$I$2)</f>
        <v>9069.5114816439964</v>
      </c>
      <c r="J163" s="3">
        <f>SUM(day_cash_behind[[#Headers],[Labor Cost]]:day_cash_behind[[#This Row],[Labor Cost]])</f>
        <v>586465.5859686418</v>
      </c>
      <c r="K163" s="3">
        <f>SUM(day_cash_behind[[#Headers],[Material Cost]]:day_cash_behind[[#This Row],[Material Cost]])</f>
        <v>215933.09859154903</v>
      </c>
      <c r="L163" s="3">
        <f>SUM(day_cash_behind[[#Headers],[Equipment Cost]]:day_cash_behind[[#This Row],[Equipment Cost]])</f>
        <v>72433.962264150803</v>
      </c>
      <c r="M163" s="3">
        <f>SUM(day_cash_behind[[#Headers],[Sub Cost]]:day_cash_behind[[#This Row],[Sub Cost]])</f>
        <v>264506.11564121564</v>
      </c>
      <c r="N163" s="3">
        <f>SUM(day_cash_behind[[#Headers],[Other Cost]]:day_cash_behind[[#This Row],[Other Cost]])</f>
        <v>48122.641509433852</v>
      </c>
      <c r="O163" s="3">
        <f>SUM(day_cash_behind[[#This Row],[Cumulative Labor]:[Cumulative Other]])</f>
        <v>1187461.4039749911</v>
      </c>
      <c r="P163" s="3">
        <f>SUM(day_cash_behind[[#Headers],[Revenue]]:day_cash_behind[[#This Row],[Revenue]])</f>
        <v>455365.60662571306</v>
      </c>
    </row>
    <row r="164" spans="2:16" x14ac:dyDescent="0.45">
      <c r="B164" s="1">
        <v>46547</v>
      </c>
      <c r="C164" s="4">
        <f>SUMIFS(schedule[Labor CPP], schedule[Start Date],"&lt;="&amp;day_cash_behind[[#This Row],[Date]], schedule[Finish Date],"&gt;="&amp;day_cash_behind[[#This Row],[Date]])</f>
        <v>2844.8046771193194</v>
      </c>
      <c r="D164" s="4">
        <f>SUMIFS(schedule[Material CPP], schedule[Start Date],"&lt;="&amp;day_cash_behind[[#This Row],[Date]]-$D$2, schedule[Finish Date],"&gt;="&amp;day_cash_behind[[#This Row],[Date]]-$D$2)</f>
        <v>1373.2394366197184</v>
      </c>
      <c r="E164" s="4">
        <f>SUMIFS(schedule[Equipment CPP], schedule[Start Date],"&lt;="&amp;day_cash_behind[[#This Row],[Date]]-$E$2, schedule[Finish Date],"&gt;="&amp;day_cash_behind[[#This Row],[Date]]-$E$2)</f>
        <v>471.69811320754718</v>
      </c>
      <c r="F164" s="4">
        <f>SUMIFS(schedule[Sub CPP], schedule[Start Date],"&lt;="&amp;day_cash_behind[[#This Row],[Date]]-$F$2, schedule[Finish Date],"&gt;="&amp;day_cash_behind[[#This Row],[Date]]-$F$2)</f>
        <v>12739.251297257228</v>
      </c>
      <c r="G164" s="3">
        <f>SUMIFS(schedule[Other CPP], schedule[Start Date],"&lt;="&amp;day_cash_behind[[#This Row],[Date]]-$G$2, schedule[Finish Date],"&gt;="&amp;day_cash_behind[[#This Row],[Date]]-$G$2)</f>
        <v>314.46540880503147</v>
      </c>
      <c r="H164" s="3">
        <f>SUM(day_cash_behind[[#This Row],[Labor Cost]:[Other Cost]])</f>
        <v>17743.458933008842</v>
      </c>
      <c r="I164" s="3">
        <f>SUMIFS(schedule[Revenue per Day], schedule[Start Date],"&lt;="&amp;day_cash_behind[[#This Row],[Date]]-$I$2, schedule[Finish Date],"&gt;="&amp;day_cash_behind[[#This Row],[Date]]-$I$2)</f>
        <v>9069.5114816439964</v>
      </c>
      <c r="J164" s="3">
        <f>SUM(day_cash_behind[[#Headers],[Labor Cost]]:day_cash_behind[[#This Row],[Labor Cost]])</f>
        <v>589310.39064576116</v>
      </c>
      <c r="K164" s="3">
        <f>SUM(day_cash_behind[[#Headers],[Material Cost]]:day_cash_behind[[#This Row],[Material Cost]])</f>
        <v>217306.33802816874</v>
      </c>
      <c r="L164" s="3">
        <f>SUM(day_cash_behind[[#Headers],[Equipment Cost]]:day_cash_behind[[#This Row],[Equipment Cost]])</f>
        <v>72905.660377358348</v>
      </c>
      <c r="M164" s="3">
        <f>SUM(day_cash_behind[[#Headers],[Sub Cost]]:day_cash_behind[[#This Row],[Sub Cost]])</f>
        <v>277245.36693847284</v>
      </c>
      <c r="N164" s="3">
        <f>SUM(day_cash_behind[[#Headers],[Other Cost]]:day_cash_behind[[#This Row],[Other Cost]])</f>
        <v>48437.106918238882</v>
      </c>
      <c r="O164" s="3">
        <f>SUM(day_cash_behind[[#This Row],[Cumulative Labor]:[Cumulative Other]])</f>
        <v>1205204.8629079999</v>
      </c>
      <c r="P164" s="3">
        <f>SUM(day_cash_behind[[#Headers],[Revenue]]:day_cash_behind[[#This Row],[Revenue]])</f>
        <v>464435.11810735706</v>
      </c>
    </row>
    <row r="165" spans="2:16" x14ac:dyDescent="0.45">
      <c r="B165" s="1">
        <v>46548</v>
      </c>
      <c r="C165" s="4">
        <f>SUMIFS(schedule[Labor CPP], schedule[Start Date],"&lt;="&amp;day_cash_behind[[#This Row],[Date]], schedule[Finish Date],"&gt;="&amp;day_cash_behind[[#This Row],[Date]])</f>
        <v>2844.8046771193194</v>
      </c>
      <c r="D165" s="4">
        <f>SUMIFS(schedule[Material CPP], schedule[Start Date],"&lt;="&amp;day_cash_behind[[#This Row],[Date]]-$D$2, schedule[Finish Date],"&gt;="&amp;day_cash_behind[[#This Row],[Date]]-$D$2)</f>
        <v>1373.2394366197184</v>
      </c>
      <c r="E165" s="4">
        <f>SUMIFS(schedule[Equipment CPP], schedule[Start Date],"&lt;="&amp;day_cash_behind[[#This Row],[Date]]-$E$2, schedule[Finish Date],"&gt;="&amp;day_cash_behind[[#This Row],[Date]]-$E$2)</f>
        <v>471.69811320754718</v>
      </c>
      <c r="F165" s="4">
        <f>SUMIFS(schedule[Sub CPP], schedule[Start Date],"&lt;="&amp;day_cash_behind[[#This Row],[Date]]-$F$2, schedule[Finish Date],"&gt;="&amp;day_cash_behind[[#This Row],[Date]]-$F$2)</f>
        <v>12739.251297257228</v>
      </c>
      <c r="G165" s="3">
        <f>SUMIFS(schedule[Other CPP], schedule[Start Date],"&lt;="&amp;day_cash_behind[[#This Row],[Date]]-$G$2, schedule[Finish Date],"&gt;="&amp;day_cash_behind[[#This Row],[Date]]-$G$2)</f>
        <v>314.46540880503147</v>
      </c>
      <c r="H165" s="3">
        <f>SUM(day_cash_behind[[#This Row],[Labor Cost]:[Other Cost]])</f>
        <v>17743.458933008842</v>
      </c>
      <c r="I165" s="3">
        <f>SUMIFS(schedule[Revenue per Day], schedule[Start Date],"&lt;="&amp;day_cash_behind[[#This Row],[Date]]-$I$2, schedule[Finish Date],"&gt;="&amp;day_cash_behind[[#This Row],[Date]]-$I$2)</f>
        <v>9069.5114816439964</v>
      </c>
      <c r="J165" s="3">
        <f>SUM(day_cash_behind[[#Headers],[Labor Cost]]:day_cash_behind[[#This Row],[Labor Cost]])</f>
        <v>592155.19532288052</v>
      </c>
      <c r="K165" s="3">
        <f>SUM(day_cash_behind[[#Headers],[Material Cost]]:day_cash_behind[[#This Row],[Material Cost]])</f>
        <v>218679.57746478845</v>
      </c>
      <c r="L165" s="3">
        <f>SUM(day_cash_behind[[#Headers],[Equipment Cost]]:day_cash_behind[[#This Row],[Equipment Cost]])</f>
        <v>73377.358490565894</v>
      </c>
      <c r="M165" s="3">
        <f>SUM(day_cash_behind[[#Headers],[Sub Cost]]:day_cash_behind[[#This Row],[Sub Cost]])</f>
        <v>289984.61823573004</v>
      </c>
      <c r="N165" s="3">
        <f>SUM(day_cash_behind[[#Headers],[Other Cost]]:day_cash_behind[[#This Row],[Other Cost]])</f>
        <v>48751.572327043912</v>
      </c>
      <c r="O165" s="3">
        <f>SUM(day_cash_behind[[#This Row],[Cumulative Labor]:[Cumulative Other]])</f>
        <v>1222948.3218410087</v>
      </c>
      <c r="P165" s="3">
        <f>SUM(day_cash_behind[[#Headers],[Revenue]]:day_cash_behind[[#This Row],[Revenue]])</f>
        <v>473504.62958900107</v>
      </c>
    </row>
    <row r="166" spans="2:16" x14ac:dyDescent="0.45">
      <c r="B166" s="1">
        <v>46549</v>
      </c>
      <c r="C166" s="4">
        <f>SUMIFS(schedule[Labor CPP], schedule[Start Date],"&lt;="&amp;day_cash_behind[[#This Row],[Date]], schedule[Finish Date],"&gt;="&amp;day_cash_behind[[#This Row],[Date]])</f>
        <v>2844.8046771193194</v>
      </c>
      <c r="D166" s="4">
        <f>SUMIFS(schedule[Material CPP], schedule[Start Date],"&lt;="&amp;day_cash_behind[[#This Row],[Date]]-$D$2, schedule[Finish Date],"&gt;="&amp;day_cash_behind[[#This Row],[Date]]-$D$2)</f>
        <v>1373.2394366197184</v>
      </c>
      <c r="E166" s="4">
        <f>SUMIFS(schedule[Equipment CPP], schedule[Start Date],"&lt;="&amp;day_cash_behind[[#This Row],[Date]]-$E$2, schedule[Finish Date],"&gt;="&amp;day_cash_behind[[#This Row],[Date]]-$E$2)</f>
        <v>471.69811320754718</v>
      </c>
      <c r="F166" s="4">
        <f>SUMIFS(schedule[Sub CPP], schedule[Start Date],"&lt;="&amp;day_cash_behind[[#This Row],[Date]]-$F$2, schedule[Finish Date],"&gt;="&amp;day_cash_behind[[#This Row],[Date]]-$F$2)</f>
        <v>12739.251297257228</v>
      </c>
      <c r="G166" s="3">
        <f>SUMIFS(schedule[Other CPP], schedule[Start Date],"&lt;="&amp;day_cash_behind[[#This Row],[Date]]-$G$2, schedule[Finish Date],"&gt;="&amp;day_cash_behind[[#This Row],[Date]]-$G$2)</f>
        <v>314.46540880503147</v>
      </c>
      <c r="H166" s="3">
        <f>SUM(day_cash_behind[[#This Row],[Labor Cost]:[Other Cost]])</f>
        <v>17743.458933008842</v>
      </c>
      <c r="I166" s="3">
        <f>SUMIFS(schedule[Revenue per Day], schedule[Start Date],"&lt;="&amp;day_cash_behind[[#This Row],[Date]]-$I$2, schedule[Finish Date],"&gt;="&amp;day_cash_behind[[#This Row],[Date]]-$I$2)</f>
        <v>9069.5114816439964</v>
      </c>
      <c r="J166" s="3">
        <f>SUM(day_cash_behind[[#Headers],[Labor Cost]]:day_cash_behind[[#This Row],[Labor Cost]])</f>
        <v>594999.99999999988</v>
      </c>
      <c r="K166" s="3">
        <f>SUM(day_cash_behind[[#Headers],[Material Cost]]:day_cash_behind[[#This Row],[Material Cost]])</f>
        <v>220052.81690140816</v>
      </c>
      <c r="L166" s="3">
        <f>SUM(day_cash_behind[[#Headers],[Equipment Cost]]:day_cash_behind[[#This Row],[Equipment Cost]])</f>
        <v>73849.056603773439</v>
      </c>
      <c r="M166" s="3">
        <f>SUM(day_cash_behind[[#Headers],[Sub Cost]]:day_cash_behind[[#This Row],[Sub Cost]])</f>
        <v>302723.86953298724</v>
      </c>
      <c r="N166" s="3">
        <f>SUM(day_cash_behind[[#Headers],[Other Cost]]:day_cash_behind[[#This Row],[Other Cost]])</f>
        <v>49066.037735848942</v>
      </c>
      <c r="O166" s="3">
        <f>SUM(day_cash_behind[[#This Row],[Cumulative Labor]:[Cumulative Other]])</f>
        <v>1240691.7807740176</v>
      </c>
      <c r="P166" s="3">
        <f>SUM(day_cash_behind[[#Headers],[Revenue]]:day_cash_behind[[#This Row],[Revenue]])</f>
        <v>482574.14107064507</v>
      </c>
    </row>
    <row r="167" spans="2:16" x14ac:dyDescent="0.45">
      <c r="B167" s="1">
        <v>46550</v>
      </c>
      <c r="C167" s="4">
        <f>SUMIFS(schedule[Labor CPP], schedule[Start Date],"&lt;="&amp;day_cash_behind[[#This Row],[Date]], schedule[Finish Date],"&gt;="&amp;day_cash_behind[[#This Row],[Date]])</f>
        <v>0</v>
      </c>
      <c r="D167" s="4">
        <f>SUMIFS(schedule[Material CPP], schedule[Start Date],"&lt;="&amp;day_cash_behind[[#This Row],[Date]]-$D$2, schedule[Finish Date],"&gt;="&amp;day_cash_behind[[#This Row],[Date]]-$D$2)</f>
        <v>1373.2394366197184</v>
      </c>
      <c r="E167" s="4">
        <f>SUMIFS(schedule[Equipment CPP], schedule[Start Date],"&lt;="&amp;day_cash_behind[[#This Row],[Date]]-$E$2, schedule[Finish Date],"&gt;="&amp;day_cash_behind[[#This Row],[Date]]-$E$2)</f>
        <v>471.69811320754718</v>
      </c>
      <c r="F167" s="4">
        <f>SUMIFS(schedule[Sub CPP], schedule[Start Date],"&lt;="&amp;day_cash_behind[[#This Row],[Date]]-$F$2, schedule[Finish Date],"&gt;="&amp;day_cash_behind[[#This Row],[Date]]-$F$2)</f>
        <v>12739.251297257228</v>
      </c>
      <c r="G167" s="3">
        <f>SUMIFS(schedule[Other CPP], schedule[Start Date],"&lt;="&amp;day_cash_behind[[#This Row],[Date]]-$G$2, schedule[Finish Date],"&gt;="&amp;day_cash_behind[[#This Row],[Date]]-$G$2)</f>
        <v>314.46540880503147</v>
      </c>
      <c r="H167" s="3">
        <f>SUM(day_cash_behind[[#This Row],[Labor Cost]:[Other Cost]])</f>
        <v>14898.654255889525</v>
      </c>
      <c r="I167" s="3">
        <f>SUMIFS(schedule[Revenue per Day], schedule[Start Date],"&lt;="&amp;day_cash_behind[[#This Row],[Date]]-$I$2, schedule[Finish Date],"&gt;="&amp;day_cash_behind[[#This Row],[Date]]-$I$2)</f>
        <v>9069.5114816439964</v>
      </c>
      <c r="J167" s="3">
        <f>SUM(day_cash_behind[[#Headers],[Labor Cost]]:day_cash_behind[[#This Row],[Labor Cost]])</f>
        <v>594999.99999999988</v>
      </c>
      <c r="K167" s="3">
        <f>SUM(day_cash_behind[[#Headers],[Material Cost]]:day_cash_behind[[#This Row],[Material Cost]])</f>
        <v>221426.05633802788</v>
      </c>
      <c r="L167" s="3">
        <f>SUM(day_cash_behind[[#Headers],[Equipment Cost]]:day_cash_behind[[#This Row],[Equipment Cost]])</f>
        <v>74320.754716980984</v>
      </c>
      <c r="M167" s="3">
        <f>SUM(day_cash_behind[[#Headers],[Sub Cost]]:day_cash_behind[[#This Row],[Sub Cost]])</f>
        <v>315463.12083024444</v>
      </c>
      <c r="N167" s="3">
        <f>SUM(day_cash_behind[[#Headers],[Other Cost]]:day_cash_behind[[#This Row],[Other Cost]])</f>
        <v>49380.503144653972</v>
      </c>
      <c r="O167" s="3">
        <f>SUM(day_cash_behind[[#This Row],[Cumulative Labor]:[Cumulative Other]])</f>
        <v>1255590.4350299072</v>
      </c>
      <c r="P167" s="3">
        <f>SUM(day_cash_behind[[#Headers],[Revenue]]:day_cash_behind[[#This Row],[Revenue]])</f>
        <v>491643.65255228907</v>
      </c>
    </row>
    <row r="168" spans="2:16" x14ac:dyDescent="0.45">
      <c r="B168" s="1">
        <v>46551</v>
      </c>
      <c r="C168" s="4">
        <f>SUMIFS(schedule[Labor CPP], schedule[Start Date],"&lt;="&amp;day_cash_behind[[#This Row],[Date]], schedule[Finish Date],"&gt;="&amp;day_cash_behind[[#This Row],[Date]])</f>
        <v>0</v>
      </c>
      <c r="D168" s="4">
        <f>SUMIFS(schedule[Material CPP], schedule[Start Date],"&lt;="&amp;day_cash_behind[[#This Row],[Date]]-$D$2, schedule[Finish Date],"&gt;="&amp;day_cash_behind[[#This Row],[Date]]-$D$2)</f>
        <v>1373.2394366197184</v>
      </c>
      <c r="E168" s="4">
        <f>SUMIFS(schedule[Equipment CPP], schedule[Start Date],"&lt;="&amp;day_cash_behind[[#This Row],[Date]]-$E$2, schedule[Finish Date],"&gt;="&amp;day_cash_behind[[#This Row],[Date]]-$E$2)</f>
        <v>471.69811320754718</v>
      </c>
      <c r="F168" s="4">
        <f>SUMIFS(schedule[Sub CPP], schedule[Start Date],"&lt;="&amp;day_cash_behind[[#This Row],[Date]]-$F$2, schedule[Finish Date],"&gt;="&amp;day_cash_behind[[#This Row],[Date]]-$F$2)</f>
        <v>12739.251297257228</v>
      </c>
      <c r="G168" s="3">
        <f>SUMIFS(schedule[Other CPP], schedule[Start Date],"&lt;="&amp;day_cash_behind[[#This Row],[Date]]-$G$2, schedule[Finish Date],"&gt;="&amp;day_cash_behind[[#This Row],[Date]]-$G$2)</f>
        <v>314.46540880503147</v>
      </c>
      <c r="H168" s="3">
        <f>SUM(day_cash_behind[[#This Row],[Labor Cost]:[Other Cost]])</f>
        <v>14898.654255889525</v>
      </c>
      <c r="I168" s="3">
        <f>SUMIFS(schedule[Revenue per Day], schedule[Start Date],"&lt;="&amp;day_cash_behind[[#This Row],[Date]]-$I$2, schedule[Finish Date],"&gt;="&amp;day_cash_behind[[#This Row],[Date]]-$I$2)</f>
        <v>9069.5114816439964</v>
      </c>
      <c r="J168" s="3">
        <f>SUM(day_cash_behind[[#Headers],[Labor Cost]]:day_cash_behind[[#This Row],[Labor Cost]])</f>
        <v>594999.99999999988</v>
      </c>
      <c r="K168" s="3">
        <f>SUM(day_cash_behind[[#Headers],[Material Cost]]:day_cash_behind[[#This Row],[Material Cost]])</f>
        <v>222799.29577464759</v>
      </c>
      <c r="L168" s="3">
        <f>SUM(day_cash_behind[[#Headers],[Equipment Cost]]:day_cash_behind[[#This Row],[Equipment Cost]])</f>
        <v>74792.452830188529</v>
      </c>
      <c r="M168" s="3">
        <f>SUM(day_cash_behind[[#Headers],[Sub Cost]]:day_cash_behind[[#This Row],[Sub Cost]])</f>
        <v>328202.37212750164</v>
      </c>
      <c r="N168" s="3">
        <f>SUM(day_cash_behind[[#Headers],[Other Cost]]:day_cash_behind[[#This Row],[Other Cost]])</f>
        <v>49694.968553459003</v>
      </c>
      <c r="O168" s="3">
        <f>SUM(day_cash_behind[[#This Row],[Cumulative Labor]:[Cumulative Other]])</f>
        <v>1270489.0892857967</v>
      </c>
      <c r="P168" s="3">
        <f>SUM(day_cash_behind[[#Headers],[Revenue]]:day_cash_behind[[#This Row],[Revenue]])</f>
        <v>500713.16403393308</v>
      </c>
    </row>
    <row r="169" spans="2:16" x14ac:dyDescent="0.45">
      <c r="B169" s="1">
        <v>46552</v>
      </c>
      <c r="C169" s="4">
        <f>SUMIFS(schedule[Labor CPP], schedule[Start Date],"&lt;="&amp;day_cash_behind[[#This Row],[Date]], schedule[Finish Date],"&gt;="&amp;day_cash_behind[[#This Row],[Date]])</f>
        <v>0</v>
      </c>
      <c r="D169" s="4">
        <f>SUMIFS(schedule[Material CPP], schedule[Start Date],"&lt;="&amp;day_cash_behind[[#This Row],[Date]]-$D$2, schedule[Finish Date],"&gt;="&amp;day_cash_behind[[#This Row],[Date]]-$D$2)</f>
        <v>1373.2394366197184</v>
      </c>
      <c r="E169" s="4">
        <f>SUMIFS(schedule[Equipment CPP], schedule[Start Date],"&lt;="&amp;day_cash_behind[[#This Row],[Date]]-$E$2, schedule[Finish Date],"&gt;="&amp;day_cash_behind[[#This Row],[Date]]-$E$2)</f>
        <v>471.69811320754718</v>
      </c>
      <c r="F169" s="4">
        <f>SUMIFS(schedule[Sub CPP], schedule[Start Date],"&lt;="&amp;day_cash_behind[[#This Row],[Date]]-$F$2, schedule[Finish Date],"&gt;="&amp;day_cash_behind[[#This Row],[Date]]-$F$2)</f>
        <v>12739.251297257228</v>
      </c>
      <c r="G169" s="3">
        <f>SUMIFS(schedule[Other CPP], schedule[Start Date],"&lt;="&amp;day_cash_behind[[#This Row],[Date]]-$G$2, schedule[Finish Date],"&gt;="&amp;day_cash_behind[[#This Row],[Date]]-$G$2)</f>
        <v>314.46540880503147</v>
      </c>
      <c r="H169" s="3">
        <f>SUM(day_cash_behind[[#This Row],[Labor Cost]:[Other Cost]])</f>
        <v>14898.654255889525</v>
      </c>
      <c r="I169" s="3">
        <f>SUMIFS(schedule[Revenue per Day], schedule[Start Date],"&lt;="&amp;day_cash_behind[[#This Row],[Date]]-$I$2, schedule[Finish Date],"&gt;="&amp;day_cash_behind[[#This Row],[Date]]-$I$2)</f>
        <v>9069.5114816439964</v>
      </c>
      <c r="J169" s="3">
        <f>SUM(day_cash_behind[[#Headers],[Labor Cost]]:day_cash_behind[[#This Row],[Labor Cost]])</f>
        <v>594999.99999999988</v>
      </c>
      <c r="K169" s="3">
        <f>SUM(day_cash_behind[[#Headers],[Material Cost]]:day_cash_behind[[#This Row],[Material Cost]])</f>
        <v>224172.5352112673</v>
      </c>
      <c r="L169" s="3">
        <f>SUM(day_cash_behind[[#Headers],[Equipment Cost]]:day_cash_behind[[#This Row],[Equipment Cost]])</f>
        <v>75264.150943396075</v>
      </c>
      <c r="M169" s="3">
        <f>SUM(day_cash_behind[[#Headers],[Sub Cost]]:day_cash_behind[[#This Row],[Sub Cost]])</f>
        <v>340941.62342475884</v>
      </c>
      <c r="N169" s="3">
        <f>SUM(day_cash_behind[[#Headers],[Other Cost]]:day_cash_behind[[#This Row],[Other Cost]])</f>
        <v>50009.433962264033</v>
      </c>
      <c r="O169" s="3">
        <f>SUM(day_cash_behind[[#This Row],[Cumulative Labor]:[Cumulative Other]])</f>
        <v>1285387.7435416861</v>
      </c>
      <c r="P169" s="3">
        <f>SUM(day_cash_behind[[#Headers],[Revenue]]:day_cash_behind[[#This Row],[Revenue]])</f>
        <v>509782.67551557708</v>
      </c>
    </row>
    <row r="170" spans="2:16" x14ac:dyDescent="0.45">
      <c r="B170" s="1">
        <v>46553</v>
      </c>
      <c r="C170" s="4">
        <f>SUMIFS(schedule[Labor CPP], schedule[Start Date],"&lt;="&amp;day_cash_behind[[#This Row],[Date]], schedule[Finish Date],"&gt;="&amp;day_cash_behind[[#This Row],[Date]])</f>
        <v>0</v>
      </c>
      <c r="D170" s="4">
        <f>SUMIFS(schedule[Material CPP], schedule[Start Date],"&lt;="&amp;day_cash_behind[[#This Row],[Date]]-$D$2, schedule[Finish Date],"&gt;="&amp;day_cash_behind[[#This Row],[Date]]-$D$2)</f>
        <v>1373.2394366197184</v>
      </c>
      <c r="E170" s="4">
        <f>SUMIFS(schedule[Equipment CPP], schedule[Start Date],"&lt;="&amp;day_cash_behind[[#This Row],[Date]]-$E$2, schedule[Finish Date],"&gt;="&amp;day_cash_behind[[#This Row],[Date]]-$E$2)</f>
        <v>471.69811320754718</v>
      </c>
      <c r="F170" s="4">
        <f>SUMIFS(schedule[Sub CPP], schedule[Start Date],"&lt;="&amp;day_cash_behind[[#This Row],[Date]]-$F$2, schedule[Finish Date],"&gt;="&amp;day_cash_behind[[#This Row],[Date]]-$F$2)</f>
        <v>12739.251297257228</v>
      </c>
      <c r="G170" s="3">
        <f>SUMIFS(schedule[Other CPP], schedule[Start Date],"&lt;="&amp;day_cash_behind[[#This Row],[Date]]-$G$2, schedule[Finish Date],"&gt;="&amp;day_cash_behind[[#This Row],[Date]]-$G$2)</f>
        <v>314.46540880503147</v>
      </c>
      <c r="H170" s="3">
        <f>SUM(day_cash_behind[[#This Row],[Labor Cost]:[Other Cost]])</f>
        <v>14898.654255889525</v>
      </c>
      <c r="I170" s="3">
        <f>SUMIFS(schedule[Revenue per Day], schedule[Start Date],"&lt;="&amp;day_cash_behind[[#This Row],[Date]]-$I$2, schedule[Finish Date],"&gt;="&amp;day_cash_behind[[#This Row],[Date]]-$I$2)</f>
        <v>16102.328819105296</v>
      </c>
      <c r="J170" s="3">
        <f>SUM(day_cash_behind[[#Headers],[Labor Cost]]:day_cash_behind[[#This Row],[Labor Cost]])</f>
        <v>594999.99999999988</v>
      </c>
      <c r="K170" s="3">
        <f>SUM(day_cash_behind[[#Headers],[Material Cost]]:day_cash_behind[[#This Row],[Material Cost]])</f>
        <v>225545.77464788701</v>
      </c>
      <c r="L170" s="3">
        <f>SUM(day_cash_behind[[#Headers],[Equipment Cost]]:day_cash_behind[[#This Row],[Equipment Cost]])</f>
        <v>75735.84905660362</v>
      </c>
      <c r="M170" s="3">
        <f>SUM(day_cash_behind[[#Headers],[Sub Cost]]:day_cash_behind[[#This Row],[Sub Cost]])</f>
        <v>353680.87472201604</v>
      </c>
      <c r="N170" s="3">
        <f>SUM(day_cash_behind[[#Headers],[Other Cost]]:day_cash_behind[[#This Row],[Other Cost]])</f>
        <v>50323.899371069063</v>
      </c>
      <c r="O170" s="3">
        <f>SUM(day_cash_behind[[#This Row],[Cumulative Labor]:[Cumulative Other]])</f>
        <v>1300286.3977975757</v>
      </c>
      <c r="P170" s="3">
        <f>SUM(day_cash_behind[[#Headers],[Revenue]]:day_cash_behind[[#This Row],[Revenue]])</f>
        <v>525885.00433468237</v>
      </c>
    </row>
    <row r="171" spans="2:16" x14ac:dyDescent="0.45">
      <c r="B171" s="1">
        <v>46554</v>
      </c>
      <c r="C171" s="4">
        <f>SUMIFS(schedule[Labor CPP], schedule[Start Date],"&lt;="&amp;day_cash_behind[[#This Row],[Date]], schedule[Finish Date],"&gt;="&amp;day_cash_behind[[#This Row],[Date]])</f>
        <v>0</v>
      </c>
      <c r="D171" s="4">
        <f>SUMIFS(schedule[Material CPP], schedule[Start Date],"&lt;="&amp;day_cash_behind[[#This Row],[Date]]-$D$2, schedule[Finish Date],"&gt;="&amp;day_cash_behind[[#This Row],[Date]]-$D$2)</f>
        <v>1373.2394366197184</v>
      </c>
      <c r="E171" s="4">
        <f>SUMIFS(schedule[Equipment CPP], schedule[Start Date],"&lt;="&amp;day_cash_behind[[#This Row],[Date]]-$E$2, schedule[Finish Date],"&gt;="&amp;day_cash_behind[[#This Row],[Date]]-$E$2)</f>
        <v>471.69811320754718</v>
      </c>
      <c r="F171" s="4">
        <f>SUMIFS(schedule[Sub CPP], schedule[Start Date],"&lt;="&amp;day_cash_behind[[#This Row],[Date]]-$F$2, schedule[Finish Date],"&gt;="&amp;day_cash_behind[[#This Row],[Date]]-$F$2)</f>
        <v>12739.251297257228</v>
      </c>
      <c r="G171" s="3">
        <f>SUMIFS(schedule[Other CPP], schedule[Start Date],"&lt;="&amp;day_cash_behind[[#This Row],[Date]]-$G$2, schedule[Finish Date],"&gt;="&amp;day_cash_behind[[#This Row],[Date]]-$G$2)</f>
        <v>314.46540880503147</v>
      </c>
      <c r="H171" s="3">
        <f>SUM(day_cash_behind[[#This Row],[Labor Cost]:[Other Cost]])</f>
        <v>14898.654255889525</v>
      </c>
      <c r="I171" s="3">
        <f>SUMIFS(schedule[Revenue per Day], schedule[Start Date],"&lt;="&amp;day_cash_behind[[#This Row],[Date]]-$I$2, schedule[Finish Date],"&gt;="&amp;day_cash_behind[[#This Row],[Date]]-$I$2)</f>
        <v>16102.328819105296</v>
      </c>
      <c r="J171" s="3">
        <f>SUM(day_cash_behind[[#Headers],[Labor Cost]]:day_cash_behind[[#This Row],[Labor Cost]])</f>
        <v>594999.99999999988</v>
      </c>
      <c r="K171" s="3">
        <f>SUM(day_cash_behind[[#Headers],[Material Cost]]:day_cash_behind[[#This Row],[Material Cost]])</f>
        <v>226919.01408450672</v>
      </c>
      <c r="L171" s="3">
        <f>SUM(day_cash_behind[[#Headers],[Equipment Cost]]:day_cash_behind[[#This Row],[Equipment Cost]])</f>
        <v>76207.547169811165</v>
      </c>
      <c r="M171" s="3">
        <f>SUM(day_cash_behind[[#Headers],[Sub Cost]]:day_cash_behind[[#This Row],[Sub Cost]])</f>
        <v>366420.12601927324</v>
      </c>
      <c r="N171" s="3">
        <f>SUM(day_cash_behind[[#Headers],[Other Cost]]:day_cash_behind[[#This Row],[Other Cost]])</f>
        <v>50638.364779874093</v>
      </c>
      <c r="O171" s="3">
        <f>SUM(day_cash_behind[[#This Row],[Cumulative Labor]:[Cumulative Other]])</f>
        <v>1315185.052053465</v>
      </c>
      <c r="P171" s="3">
        <f>SUM(day_cash_behind[[#Headers],[Revenue]]:day_cash_behind[[#This Row],[Revenue]])</f>
        <v>541987.33315378765</v>
      </c>
    </row>
    <row r="172" spans="2:16" x14ac:dyDescent="0.45">
      <c r="B172" s="1">
        <v>46555</v>
      </c>
      <c r="C172" s="4">
        <f>SUMIFS(schedule[Labor CPP], schedule[Start Date],"&lt;="&amp;day_cash_behind[[#This Row],[Date]], schedule[Finish Date],"&gt;="&amp;day_cash_behind[[#This Row],[Date]])</f>
        <v>0</v>
      </c>
      <c r="D172" s="4">
        <f>SUMIFS(schedule[Material CPP], schedule[Start Date],"&lt;="&amp;day_cash_behind[[#This Row],[Date]]-$D$2, schedule[Finish Date],"&gt;="&amp;day_cash_behind[[#This Row],[Date]]-$D$2)</f>
        <v>1373.2394366197184</v>
      </c>
      <c r="E172" s="4">
        <f>SUMIFS(schedule[Equipment CPP], schedule[Start Date],"&lt;="&amp;day_cash_behind[[#This Row],[Date]]-$E$2, schedule[Finish Date],"&gt;="&amp;day_cash_behind[[#This Row],[Date]]-$E$2)</f>
        <v>471.69811320754718</v>
      </c>
      <c r="F172" s="4">
        <f>SUMIFS(schedule[Sub CPP], schedule[Start Date],"&lt;="&amp;day_cash_behind[[#This Row],[Date]]-$F$2, schedule[Finish Date],"&gt;="&amp;day_cash_behind[[#This Row],[Date]]-$F$2)</f>
        <v>12739.251297257228</v>
      </c>
      <c r="G172" s="3">
        <f>SUMIFS(schedule[Other CPP], schedule[Start Date],"&lt;="&amp;day_cash_behind[[#This Row],[Date]]-$G$2, schedule[Finish Date],"&gt;="&amp;day_cash_behind[[#This Row],[Date]]-$G$2)</f>
        <v>314.46540880503147</v>
      </c>
      <c r="H172" s="3">
        <f>SUM(day_cash_behind[[#This Row],[Labor Cost]:[Other Cost]])</f>
        <v>14898.654255889525</v>
      </c>
      <c r="I172" s="3">
        <f>SUMIFS(schedule[Revenue per Day], schedule[Start Date],"&lt;="&amp;day_cash_behind[[#This Row],[Date]]-$I$2, schedule[Finish Date],"&gt;="&amp;day_cash_behind[[#This Row],[Date]]-$I$2)</f>
        <v>25782.328819105296</v>
      </c>
      <c r="J172" s="3">
        <f>SUM(day_cash_behind[[#Headers],[Labor Cost]]:day_cash_behind[[#This Row],[Labor Cost]])</f>
        <v>594999.99999999988</v>
      </c>
      <c r="K172" s="3">
        <f>SUM(day_cash_behind[[#Headers],[Material Cost]]:day_cash_behind[[#This Row],[Material Cost]])</f>
        <v>228292.25352112643</v>
      </c>
      <c r="L172" s="3">
        <f>SUM(day_cash_behind[[#Headers],[Equipment Cost]]:day_cash_behind[[#This Row],[Equipment Cost]])</f>
        <v>76679.24528301871</v>
      </c>
      <c r="M172" s="3">
        <f>SUM(day_cash_behind[[#Headers],[Sub Cost]]:day_cash_behind[[#This Row],[Sub Cost]])</f>
        <v>379159.37731653044</v>
      </c>
      <c r="N172" s="3">
        <f>SUM(day_cash_behind[[#Headers],[Other Cost]]:day_cash_behind[[#This Row],[Other Cost]])</f>
        <v>50952.830188679123</v>
      </c>
      <c r="O172" s="3">
        <f>SUM(day_cash_behind[[#This Row],[Cumulative Labor]:[Cumulative Other]])</f>
        <v>1330083.7063093544</v>
      </c>
      <c r="P172" s="3">
        <f>SUM(day_cash_behind[[#Headers],[Revenue]]:day_cash_behind[[#This Row],[Revenue]])</f>
        <v>567769.66197289294</v>
      </c>
    </row>
    <row r="173" spans="2:16" x14ac:dyDescent="0.45">
      <c r="B173" s="1">
        <v>46556</v>
      </c>
      <c r="C173" s="4">
        <f>SUMIFS(schedule[Labor CPP], schedule[Start Date],"&lt;="&amp;day_cash_behind[[#This Row],[Date]], schedule[Finish Date],"&gt;="&amp;day_cash_behind[[#This Row],[Date]])</f>
        <v>0</v>
      </c>
      <c r="D173" s="4">
        <f>SUMIFS(schedule[Material CPP], schedule[Start Date],"&lt;="&amp;day_cash_behind[[#This Row],[Date]]-$D$2, schedule[Finish Date],"&gt;="&amp;day_cash_behind[[#This Row],[Date]]-$D$2)</f>
        <v>1373.2394366197184</v>
      </c>
      <c r="E173" s="4">
        <f>SUMIFS(schedule[Equipment CPP], schedule[Start Date],"&lt;="&amp;day_cash_behind[[#This Row],[Date]]-$E$2, schedule[Finish Date],"&gt;="&amp;day_cash_behind[[#This Row],[Date]]-$E$2)</f>
        <v>471.69811320754718</v>
      </c>
      <c r="F173" s="4">
        <f>SUMIFS(schedule[Sub CPP], schedule[Start Date],"&lt;="&amp;day_cash_behind[[#This Row],[Date]]-$F$2, schedule[Finish Date],"&gt;="&amp;day_cash_behind[[#This Row],[Date]]-$F$2)</f>
        <v>12739.251297257228</v>
      </c>
      <c r="G173" s="3">
        <f>SUMIFS(schedule[Other CPP], schedule[Start Date],"&lt;="&amp;day_cash_behind[[#This Row],[Date]]-$G$2, schedule[Finish Date],"&gt;="&amp;day_cash_behind[[#This Row],[Date]]-$G$2)</f>
        <v>314.46540880503147</v>
      </c>
      <c r="H173" s="3">
        <f>SUM(day_cash_behind[[#This Row],[Labor Cost]:[Other Cost]])</f>
        <v>14898.654255889525</v>
      </c>
      <c r="I173" s="3">
        <f>SUMIFS(schedule[Revenue per Day], schedule[Start Date],"&lt;="&amp;day_cash_behind[[#This Row],[Date]]-$I$2, schedule[Finish Date],"&gt;="&amp;day_cash_behind[[#This Row],[Date]]-$I$2)</f>
        <v>25782.328819105296</v>
      </c>
      <c r="J173" s="3">
        <f>SUM(day_cash_behind[[#Headers],[Labor Cost]]:day_cash_behind[[#This Row],[Labor Cost]])</f>
        <v>594999.99999999988</v>
      </c>
      <c r="K173" s="3">
        <f>SUM(day_cash_behind[[#Headers],[Material Cost]]:day_cash_behind[[#This Row],[Material Cost]])</f>
        <v>229665.49295774614</v>
      </c>
      <c r="L173" s="3">
        <f>SUM(day_cash_behind[[#Headers],[Equipment Cost]]:day_cash_behind[[#This Row],[Equipment Cost]])</f>
        <v>77150.943396226256</v>
      </c>
      <c r="M173" s="3">
        <f>SUM(day_cash_behind[[#Headers],[Sub Cost]]:day_cash_behind[[#This Row],[Sub Cost]])</f>
        <v>391898.62861378765</v>
      </c>
      <c r="N173" s="3">
        <f>SUM(day_cash_behind[[#Headers],[Other Cost]]:day_cash_behind[[#This Row],[Other Cost]])</f>
        <v>51267.295597484153</v>
      </c>
      <c r="O173" s="3">
        <f>SUM(day_cash_behind[[#This Row],[Cumulative Labor]:[Cumulative Other]])</f>
        <v>1344982.360565244</v>
      </c>
      <c r="P173" s="3">
        <f>SUM(day_cash_behind[[#Headers],[Revenue]]:day_cash_behind[[#This Row],[Revenue]])</f>
        <v>593551.99079199822</v>
      </c>
    </row>
    <row r="174" spans="2:16" x14ac:dyDescent="0.45">
      <c r="B174" s="1">
        <v>46557</v>
      </c>
      <c r="C174" s="4">
        <f>SUMIFS(schedule[Labor CPP], schedule[Start Date],"&lt;="&amp;day_cash_behind[[#This Row],[Date]], schedule[Finish Date],"&gt;="&amp;day_cash_behind[[#This Row],[Date]])</f>
        <v>0</v>
      </c>
      <c r="D174" s="4">
        <f>SUMIFS(schedule[Material CPP], schedule[Start Date],"&lt;="&amp;day_cash_behind[[#This Row],[Date]]-$D$2, schedule[Finish Date],"&gt;="&amp;day_cash_behind[[#This Row],[Date]]-$D$2)</f>
        <v>1373.2394366197184</v>
      </c>
      <c r="E174" s="4">
        <f>SUMIFS(schedule[Equipment CPP], schedule[Start Date],"&lt;="&amp;day_cash_behind[[#This Row],[Date]]-$E$2, schedule[Finish Date],"&gt;="&amp;day_cash_behind[[#This Row],[Date]]-$E$2)</f>
        <v>471.69811320754718</v>
      </c>
      <c r="F174" s="4">
        <f>SUMIFS(schedule[Sub CPP], schedule[Start Date],"&lt;="&amp;day_cash_behind[[#This Row],[Date]]-$F$2, schedule[Finish Date],"&gt;="&amp;day_cash_behind[[#This Row],[Date]]-$F$2)</f>
        <v>12739.251297257228</v>
      </c>
      <c r="G174" s="3">
        <f>SUMIFS(schedule[Other CPP], schedule[Start Date],"&lt;="&amp;day_cash_behind[[#This Row],[Date]]-$G$2, schedule[Finish Date],"&gt;="&amp;day_cash_behind[[#This Row],[Date]]-$G$2)</f>
        <v>314.46540880503147</v>
      </c>
      <c r="H174" s="3">
        <f>SUM(day_cash_behind[[#This Row],[Labor Cost]:[Other Cost]])</f>
        <v>14898.654255889525</v>
      </c>
      <c r="I174" s="3">
        <f>SUMIFS(schedule[Revenue per Day], schedule[Start Date],"&lt;="&amp;day_cash_behind[[#This Row],[Date]]-$I$2, schedule[Finish Date],"&gt;="&amp;day_cash_behind[[#This Row],[Date]]-$I$2)</f>
        <v>25782.328819105296</v>
      </c>
      <c r="J174" s="3">
        <f>SUM(day_cash_behind[[#Headers],[Labor Cost]]:day_cash_behind[[#This Row],[Labor Cost]])</f>
        <v>594999.99999999988</v>
      </c>
      <c r="K174" s="3">
        <f>SUM(day_cash_behind[[#Headers],[Material Cost]]:day_cash_behind[[#This Row],[Material Cost]])</f>
        <v>231038.73239436586</v>
      </c>
      <c r="L174" s="3">
        <f>SUM(day_cash_behind[[#Headers],[Equipment Cost]]:day_cash_behind[[#This Row],[Equipment Cost]])</f>
        <v>77622.641509433801</v>
      </c>
      <c r="M174" s="3">
        <f>SUM(day_cash_behind[[#Headers],[Sub Cost]]:day_cash_behind[[#This Row],[Sub Cost]])</f>
        <v>404637.87991104485</v>
      </c>
      <c r="N174" s="3">
        <f>SUM(day_cash_behind[[#Headers],[Other Cost]]:day_cash_behind[[#This Row],[Other Cost]])</f>
        <v>51581.761006289184</v>
      </c>
      <c r="O174" s="3">
        <f>SUM(day_cash_behind[[#This Row],[Cumulative Labor]:[Cumulative Other]])</f>
        <v>1359881.0148211336</v>
      </c>
      <c r="P174" s="3">
        <f>SUM(day_cash_behind[[#Headers],[Revenue]]:day_cash_behind[[#This Row],[Revenue]])</f>
        <v>619334.31961110351</v>
      </c>
    </row>
    <row r="175" spans="2:16" x14ac:dyDescent="0.45">
      <c r="B175" s="1">
        <v>46558</v>
      </c>
      <c r="C175" s="4">
        <f>SUMIFS(schedule[Labor CPP], schedule[Start Date],"&lt;="&amp;day_cash_behind[[#This Row],[Date]], schedule[Finish Date],"&gt;="&amp;day_cash_behind[[#This Row],[Date]])</f>
        <v>0</v>
      </c>
      <c r="D175" s="4">
        <f>SUMIFS(schedule[Material CPP], schedule[Start Date],"&lt;="&amp;day_cash_behind[[#This Row],[Date]]-$D$2, schedule[Finish Date],"&gt;="&amp;day_cash_behind[[#This Row],[Date]]-$D$2)</f>
        <v>1373.2394366197184</v>
      </c>
      <c r="E175" s="4">
        <f>SUMIFS(schedule[Equipment CPP], schedule[Start Date],"&lt;="&amp;day_cash_behind[[#This Row],[Date]]-$E$2, schedule[Finish Date],"&gt;="&amp;day_cash_behind[[#This Row],[Date]]-$E$2)</f>
        <v>471.69811320754718</v>
      </c>
      <c r="F175" s="4">
        <f>SUMIFS(schedule[Sub CPP], schedule[Start Date],"&lt;="&amp;day_cash_behind[[#This Row],[Date]]-$F$2, schedule[Finish Date],"&gt;="&amp;day_cash_behind[[#This Row],[Date]]-$F$2)</f>
        <v>12739.251297257228</v>
      </c>
      <c r="G175" s="3">
        <f>SUMIFS(schedule[Other CPP], schedule[Start Date],"&lt;="&amp;day_cash_behind[[#This Row],[Date]]-$G$2, schedule[Finish Date],"&gt;="&amp;day_cash_behind[[#This Row],[Date]]-$G$2)</f>
        <v>314.46540880503147</v>
      </c>
      <c r="H175" s="3">
        <f>SUM(day_cash_behind[[#This Row],[Labor Cost]:[Other Cost]])</f>
        <v>14898.654255889525</v>
      </c>
      <c r="I175" s="3">
        <f>SUMIFS(schedule[Revenue per Day], schedule[Start Date],"&lt;="&amp;day_cash_behind[[#This Row],[Date]]-$I$2, schedule[Finish Date],"&gt;="&amp;day_cash_behind[[#This Row],[Date]]-$I$2)</f>
        <v>25782.328819105296</v>
      </c>
      <c r="J175" s="3">
        <f>SUM(day_cash_behind[[#Headers],[Labor Cost]]:day_cash_behind[[#This Row],[Labor Cost]])</f>
        <v>594999.99999999988</v>
      </c>
      <c r="K175" s="3">
        <f>SUM(day_cash_behind[[#Headers],[Material Cost]]:day_cash_behind[[#This Row],[Material Cost]])</f>
        <v>232411.97183098557</v>
      </c>
      <c r="L175" s="3">
        <f>SUM(day_cash_behind[[#Headers],[Equipment Cost]]:day_cash_behind[[#This Row],[Equipment Cost]])</f>
        <v>78094.339622641346</v>
      </c>
      <c r="M175" s="3">
        <f>SUM(day_cash_behind[[#Headers],[Sub Cost]]:day_cash_behind[[#This Row],[Sub Cost]])</f>
        <v>417377.13120830205</v>
      </c>
      <c r="N175" s="3">
        <f>SUM(day_cash_behind[[#Headers],[Other Cost]]:day_cash_behind[[#This Row],[Other Cost]])</f>
        <v>51896.226415094214</v>
      </c>
      <c r="O175" s="3">
        <f>SUM(day_cash_behind[[#This Row],[Cumulative Labor]:[Cumulative Other]])</f>
        <v>1374779.6690770232</v>
      </c>
      <c r="P175" s="3">
        <f>SUM(day_cash_behind[[#Headers],[Revenue]]:day_cash_behind[[#This Row],[Revenue]])</f>
        <v>645116.64843020879</v>
      </c>
    </row>
    <row r="176" spans="2:16" x14ac:dyDescent="0.45">
      <c r="B176" s="1">
        <v>46559</v>
      </c>
      <c r="C176" s="4">
        <f>SUMIFS(schedule[Labor CPP], schedule[Start Date],"&lt;="&amp;day_cash_behind[[#This Row],[Date]], schedule[Finish Date],"&gt;="&amp;day_cash_behind[[#This Row],[Date]])</f>
        <v>0</v>
      </c>
      <c r="D176" s="4">
        <f>SUMIFS(schedule[Material CPP], schedule[Start Date],"&lt;="&amp;day_cash_behind[[#This Row],[Date]]-$D$2, schedule[Finish Date],"&gt;="&amp;day_cash_behind[[#This Row],[Date]]-$D$2)</f>
        <v>1373.2394366197184</v>
      </c>
      <c r="E176" s="4">
        <f>SUMIFS(schedule[Equipment CPP], schedule[Start Date],"&lt;="&amp;day_cash_behind[[#This Row],[Date]]-$E$2, schedule[Finish Date],"&gt;="&amp;day_cash_behind[[#This Row],[Date]]-$E$2)</f>
        <v>471.69811320754718</v>
      </c>
      <c r="F176" s="4">
        <f>SUMIFS(schedule[Sub CPP], schedule[Start Date],"&lt;="&amp;day_cash_behind[[#This Row],[Date]]-$F$2, schedule[Finish Date],"&gt;="&amp;day_cash_behind[[#This Row],[Date]]-$F$2)</f>
        <v>12739.251297257228</v>
      </c>
      <c r="G176" s="3">
        <f>SUMIFS(schedule[Other CPP], schedule[Start Date],"&lt;="&amp;day_cash_behind[[#This Row],[Date]]-$G$2, schedule[Finish Date],"&gt;="&amp;day_cash_behind[[#This Row],[Date]]-$G$2)</f>
        <v>314.46540880503147</v>
      </c>
      <c r="H176" s="3">
        <f>SUM(day_cash_behind[[#This Row],[Labor Cost]:[Other Cost]])</f>
        <v>14898.654255889525</v>
      </c>
      <c r="I176" s="3">
        <f>SUMIFS(schedule[Revenue per Day], schedule[Start Date],"&lt;="&amp;day_cash_behind[[#This Row],[Date]]-$I$2, schedule[Finish Date],"&gt;="&amp;day_cash_behind[[#This Row],[Date]]-$I$2)</f>
        <v>25782.328819105296</v>
      </c>
      <c r="J176" s="3">
        <f>SUM(day_cash_behind[[#Headers],[Labor Cost]]:day_cash_behind[[#This Row],[Labor Cost]])</f>
        <v>594999.99999999988</v>
      </c>
      <c r="K176" s="3">
        <f>SUM(day_cash_behind[[#Headers],[Material Cost]]:day_cash_behind[[#This Row],[Material Cost]])</f>
        <v>233785.21126760528</v>
      </c>
      <c r="L176" s="3">
        <f>SUM(day_cash_behind[[#Headers],[Equipment Cost]]:day_cash_behind[[#This Row],[Equipment Cost]])</f>
        <v>78566.037735848891</v>
      </c>
      <c r="M176" s="3">
        <f>SUM(day_cash_behind[[#Headers],[Sub Cost]]:day_cash_behind[[#This Row],[Sub Cost]])</f>
        <v>430116.38250555925</v>
      </c>
      <c r="N176" s="3">
        <f>SUM(day_cash_behind[[#Headers],[Other Cost]]:day_cash_behind[[#This Row],[Other Cost]])</f>
        <v>52210.691823899244</v>
      </c>
      <c r="O176" s="3">
        <f>SUM(day_cash_behind[[#This Row],[Cumulative Labor]:[Cumulative Other]])</f>
        <v>1389678.3233329128</v>
      </c>
      <c r="P176" s="3">
        <f>SUM(day_cash_behind[[#Headers],[Revenue]]:day_cash_behind[[#This Row],[Revenue]])</f>
        <v>670898.97724931408</v>
      </c>
    </row>
    <row r="177" spans="2:16" x14ac:dyDescent="0.45">
      <c r="B177" s="1">
        <v>46560</v>
      </c>
      <c r="C177" s="4">
        <f>SUMIFS(schedule[Labor CPP], schedule[Start Date],"&lt;="&amp;day_cash_behind[[#This Row],[Date]], schedule[Finish Date],"&gt;="&amp;day_cash_behind[[#This Row],[Date]])</f>
        <v>0</v>
      </c>
      <c r="D177" s="4">
        <f>SUMIFS(schedule[Material CPP], schedule[Start Date],"&lt;="&amp;day_cash_behind[[#This Row],[Date]]-$D$2, schedule[Finish Date],"&gt;="&amp;day_cash_behind[[#This Row],[Date]]-$D$2)</f>
        <v>1373.2394366197184</v>
      </c>
      <c r="E177" s="4">
        <f>SUMIFS(schedule[Equipment CPP], schedule[Start Date],"&lt;="&amp;day_cash_behind[[#This Row],[Date]]-$E$2, schedule[Finish Date],"&gt;="&amp;day_cash_behind[[#This Row],[Date]]-$E$2)</f>
        <v>471.69811320754718</v>
      </c>
      <c r="F177" s="4">
        <f>SUMIFS(schedule[Sub CPP], schedule[Start Date],"&lt;="&amp;day_cash_behind[[#This Row],[Date]]-$F$2, schedule[Finish Date],"&gt;="&amp;day_cash_behind[[#This Row],[Date]]-$F$2)</f>
        <v>12739.251297257228</v>
      </c>
      <c r="G177" s="3">
        <f>SUMIFS(schedule[Other CPP], schedule[Start Date],"&lt;="&amp;day_cash_behind[[#This Row],[Date]]-$G$2, schedule[Finish Date],"&gt;="&amp;day_cash_behind[[#This Row],[Date]]-$G$2)</f>
        <v>314.46540880503147</v>
      </c>
      <c r="H177" s="3">
        <f>SUM(day_cash_behind[[#This Row],[Labor Cost]:[Other Cost]])</f>
        <v>14898.654255889525</v>
      </c>
      <c r="I177" s="3">
        <f>SUMIFS(schedule[Revenue per Day], schedule[Start Date],"&lt;="&amp;day_cash_behind[[#This Row],[Date]]-$I$2, schedule[Finish Date],"&gt;="&amp;day_cash_behind[[#This Row],[Date]]-$I$2)</f>
        <v>25782.328819105296</v>
      </c>
      <c r="J177" s="3">
        <f>SUM(day_cash_behind[[#Headers],[Labor Cost]]:day_cash_behind[[#This Row],[Labor Cost]])</f>
        <v>594999.99999999988</v>
      </c>
      <c r="K177" s="3">
        <f>SUM(day_cash_behind[[#Headers],[Material Cost]]:day_cash_behind[[#This Row],[Material Cost]])</f>
        <v>235158.45070422499</v>
      </c>
      <c r="L177" s="3">
        <f>SUM(day_cash_behind[[#Headers],[Equipment Cost]]:day_cash_behind[[#This Row],[Equipment Cost]])</f>
        <v>79037.735849056437</v>
      </c>
      <c r="M177" s="3">
        <f>SUM(day_cash_behind[[#Headers],[Sub Cost]]:day_cash_behind[[#This Row],[Sub Cost]])</f>
        <v>442855.63380281645</v>
      </c>
      <c r="N177" s="3">
        <f>SUM(day_cash_behind[[#Headers],[Other Cost]]:day_cash_behind[[#This Row],[Other Cost]])</f>
        <v>52525.157232704274</v>
      </c>
      <c r="O177" s="3">
        <f>SUM(day_cash_behind[[#This Row],[Cumulative Labor]:[Cumulative Other]])</f>
        <v>1404576.9775888021</v>
      </c>
      <c r="P177" s="3">
        <f>SUM(day_cash_behind[[#Headers],[Revenue]]:day_cash_behind[[#This Row],[Revenue]])</f>
        <v>696681.30606841936</v>
      </c>
    </row>
    <row r="178" spans="2:16" x14ac:dyDescent="0.45">
      <c r="B178" s="1">
        <v>46561</v>
      </c>
      <c r="C178" s="4">
        <f>SUMIFS(schedule[Labor CPP], schedule[Start Date],"&lt;="&amp;day_cash_behind[[#This Row],[Date]], schedule[Finish Date],"&gt;="&amp;day_cash_behind[[#This Row],[Date]])</f>
        <v>0</v>
      </c>
      <c r="D178" s="4">
        <f>SUMIFS(schedule[Material CPP], schedule[Start Date],"&lt;="&amp;day_cash_behind[[#This Row],[Date]]-$D$2, schedule[Finish Date],"&gt;="&amp;day_cash_behind[[#This Row],[Date]]-$D$2)</f>
        <v>1373.2394366197184</v>
      </c>
      <c r="E178" s="4">
        <f>SUMIFS(schedule[Equipment CPP], schedule[Start Date],"&lt;="&amp;day_cash_behind[[#This Row],[Date]]-$E$2, schedule[Finish Date],"&gt;="&amp;day_cash_behind[[#This Row],[Date]]-$E$2)</f>
        <v>471.69811320754718</v>
      </c>
      <c r="F178" s="4">
        <f>SUMIFS(schedule[Sub CPP], schedule[Start Date],"&lt;="&amp;day_cash_behind[[#This Row],[Date]]-$F$2, schedule[Finish Date],"&gt;="&amp;day_cash_behind[[#This Row],[Date]]-$F$2)</f>
        <v>9186.6197183098593</v>
      </c>
      <c r="G178" s="3">
        <f>SUMIFS(schedule[Other CPP], schedule[Start Date],"&lt;="&amp;day_cash_behind[[#This Row],[Date]]-$G$2, schedule[Finish Date],"&gt;="&amp;day_cash_behind[[#This Row],[Date]]-$G$2)</f>
        <v>314.46540880503147</v>
      </c>
      <c r="H178" s="3">
        <f>SUM(day_cash_behind[[#This Row],[Labor Cost]:[Other Cost]])</f>
        <v>11346.022676942157</v>
      </c>
      <c r="I178" s="3">
        <f>SUMIFS(schedule[Revenue per Day], schedule[Start Date],"&lt;="&amp;day_cash_behind[[#This Row],[Date]]-$I$2, schedule[Finish Date],"&gt;="&amp;day_cash_behind[[#This Row],[Date]]-$I$2)</f>
        <v>25782.328819105296</v>
      </c>
      <c r="J178" s="3">
        <f>SUM(day_cash_behind[[#Headers],[Labor Cost]]:day_cash_behind[[#This Row],[Labor Cost]])</f>
        <v>594999.99999999988</v>
      </c>
      <c r="K178" s="3">
        <f>SUM(day_cash_behind[[#Headers],[Material Cost]]:day_cash_behind[[#This Row],[Material Cost]])</f>
        <v>236531.6901408447</v>
      </c>
      <c r="L178" s="3">
        <f>SUM(day_cash_behind[[#Headers],[Equipment Cost]]:day_cash_behind[[#This Row],[Equipment Cost]])</f>
        <v>79509.433962263982</v>
      </c>
      <c r="M178" s="3">
        <f>SUM(day_cash_behind[[#Headers],[Sub Cost]]:day_cash_behind[[#This Row],[Sub Cost]])</f>
        <v>452042.25352112629</v>
      </c>
      <c r="N178" s="3">
        <f>SUM(day_cash_behind[[#Headers],[Other Cost]]:day_cash_behind[[#This Row],[Other Cost]])</f>
        <v>52839.622641509304</v>
      </c>
      <c r="O178" s="3">
        <f>SUM(day_cash_behind[[#This Row],[Cumulative Labor]:[Cumulative Other]])</f>
        <v>1415923.0002657443</v>
      </c>
      <c r="P178" s="3">
        <f>SUM(day_cash_behind[[#Headers],[Revenue]]:day_cash_behind[[#This Row],[Revenue]])</f>
        <v>722463.63488752465</v>
      </c>
    </row>
    <row r="179" spans="2:16" x14ac:dyDescent="0.45">
      <c r="B179" s="1">
        <v>46562</v>
      </c>
      <c r="C179" s="4">
        <f>SUMIFS(schedule[Labor CPP], schedule[Start Date],"&lt;="&amp;day_cash_behind[[#This Row],[Date]], schedule[Finish Date],"&gt;="&amp;day_cash_behind[[#This Row],[Date]])</f>
        <v>0</v>
      </c>
      <c r="D179" s="4">
        <f>SUMIFS(schedule[Material CPP], schedule[Start Date],"&lt;="&amp;day_cash_behind[[#This Row],[Date]]-$D$2, schedule[Finish Date],"&gt;="&amp;day_cash_behind[[#This Row],[Date]]-$D$2)</f>
        <v>1373.2394366197184</v>
      </c>
      <c r="E179" s="4">
        <f>SUMIFS(schedule[Equipment CPP], schedule[Start Date],"&lt;="&amp;day_cash_behind[[#This Row],[Date]]-$E$2, schedule[Finish Date],"&gt;="&amp;day_cash_behind[[#This Row],[Date]]-$E$2)</f>
        <v>471.69811320754718</v>
      </c>
      <c r="F179" s="4">
        <f>SUMIFS(schedule[Sub CPP], schedule[Start Date],"&lt;="&amp;day_cash_behind[[#This Row],[Date]]-$F$2, schedule[Finish Date],"&gt;="&amp;day_cash_behind[[#This Row],[Date]]-$F$2)</f>
        <v>9186.6197183098593</v>
      </c>
      <c r="G179" s="3">
        <f>SUMIFS(schedule[Other CPP], schedule[Start Date],"&lt;="&amp;day_cash_behind[[#This Row],[Date]]-$G$2, schedule[Finish Date],"&gt;="&amp;day_cash_behind[[#This Row],[Date]]-$G$2)</f>
        <v>314.46540880503147</v>
      </c>
      <c r="H179" s="3">
        <f>SUM(day_cash_behind[[#This Row],[Labor Cost]:[Other Cost]])</f>
        <v>11346.022676942157</v>
      </c>
      <c r="I179" s="3">
        <f>SUMIFS(schedule[Revenue per Day], schedule[Start Date],"&lt;="&amp;day_cash_behind[[#This Row],[Date]]-$I$2, schedule[Finish Date],"&gt;="&amp;day_cash_behind[[#This Row],[Date]]-$I$2)</f>
        <v>25782.328819105296</v>
      </c>
      <c r="J179" s="3">
        <f>SUM(day_cash_behind[[#Headers],[Labor Cost]]:day_cash_behind[[#This Row],[Labor Cost]])</f>
        <v>594999.99999999988</v>
      </c>
      <c r="K179" s="3">
        <f>SUM(day_cash_behind[[#Headers],[Material Cost]]:day_cash_behind[[#This Row],[Material Cost]])</f>
        <v>237904.92957746441</v>
      </c>
      <c r="L179" s="3">
        <f>SUM(day_cash_behind[[#Headers],[Equipment Cost]]:day_cash_behind[[#This Row],[Equipment Cost]])</f>
        <v>79981.132075471527</v>
      </c>
      <c r="M179" s="3">
        <f>SUM(day_cash_behind[[#Headers],[Sub Cost]]:day_cash_behind[[#This Row],[Sub Cost]])</f>
        <v>461228.87323943613</v>
      </c>
      <c r="N179" s="3">
        <f>SUM(day_cash_behind[[#Headers],[Other Cost]]:day_cash_behind[[#This Row],[Other Cost]])</f>
        <v>53154.088050314334</v>
      </c>
      <c r="O179" s="3">
        <f>SUM(day_cash_behind[[#This Row],[Cumulative Labor]:[Cumulative Other]])</f>
        <v>1427269.0229426862</v>
      </c>
      <c r="P179" s="3">
        <f>SUM(day_cash_behind[[#Headers],[Revenue]]:day_cash_behind[[#This Row],[Revenue]])</f>
        <v>748245.96370662993</v>
      </c>
    </row>
    <row r="180" spans="2:16" x14ac:dyDescent="0.45">
      <c r="B180" s="1">
        <v>46563</v>
      </c>
      <c r="C180" s="4">
        <f>SUMIFS(schedule[Labor CPP], schedule[Start Date],"&lt;="&amp;day_cash_behind[[#This Row],[Date]], schedule[Finish Date],"&gt;="&amp;day_cash_behind[[#This Row],[Date]])</f>
        <v>0</v>
      </c>
      <c r="D180" s="4">
        <f>SUMIFS(schedule[Material CPP], schedule[Start Date],"&lt;="&amp;day_cash_behind[[#This Row],[Date]]-$D$2, schedule[Finish Date],"&gt;="&amp;day_cash_behind[[#This Row],[Date]]-$D$2)</f>
        <v>1373.2394366197184</v>
      </c>
      <c r="E180" s="4">
        <f>SUMIFS(schedule[Equipment CPP], schedule[Start Date],"&lt;="&amp;day_cash_behind[[#This Row],[Date]]-$E$2, schedule[Finish Date],"&gt;="&amp;day_cash_behind[[#This Row],[Date]]-$E$2)</f>
        <v>471.69811320754718</v>
      </c>
      <c r="F180" s="4">
        <f>SUMIFS(schedule[Sub CPP], schedule[Start Date],"&lt;="&amp;day_cash_behind[[#This Row],[Date]]-$F$2, schedule[Finish Date],"&gt;="&amp;day_cash_behind[[#This Row],[Date]]-$F$2)</f>
        <v>9186.6197183098593</v>
      </c>
      <c r="G180" s="3">
        <f>SUMIFS(schedule[Other CPP], schedule[Start Date],"&lt;="&amp;day_cash_behind[[#This Row],[Date]]-$G$2, schedule[Finish Date],"&gt;="&amp;day_cash_behind[[#This Row],[Date]]-$G$2)</f>
        <v>314.46540880503147</v>
      </c>
      <c r="H180" s="3">
        <f>SUM(day_cash_behind[[#This Row],[Labor Cost]:[Other Cost]])</f>
        <v>11346.022676942157</v>
      </c>
      <c r="I180" s="3">
        <f>SUMIFS(schedule[Revenue per Day], schedule[Start Date],"&lt;="&amp;day_cash_behind[[#This Row],[Date]]-$I$2, schedule[Finish Date],"&gt;="&amp;day_cash_behind[[#This Row],[Date]]-$I$2)</f>
        <v>25782.328819105296</v>
      </c>
      <c r="J180" s="3">
        <f>SUM(day_cash_behind[[#Headers],[Labor Cost]]:day_cash_behind[[#This Row],[Labor Cost]])</f>
        <v>594999.99999999988</v>
      </c>
      <c r="K180" s="3">
        <f>SUM(day_cash_behind[[#Headers],[Material Cost]]:day_cash_behind[[#This Row],[Material Cost]])</f>
        <v>239278.16901408412</v>
      </c>
      <c r="L180" s="3">
        <f>SUM(day_cash_behind[[#Headers],[Equipment Cost]]:day_cash_behind[[#This Row],[Equipment Cost]])</f>
        <v>80452.830188679072</v>
      </c>
      <c r="M180" s="3">
        <f>SUM(day_cash_behind[[#Headers],[Sub Cost]]:day_cash_behind[[#This Row],[Sub Cost]])</f>
        <v>470415.49295774597</v>
      </c>
      <c r="N180" s="3">
        <f>SUM(day_cash_behind[[#Headers],[Other Cost]]:day_cash_behind[[#This Row],[Other Cost]])</f>
        <v>53468.553459119365</v>
      </c>
      <c r="O180" s="3">
        <f>SUM(day_cash_behind[[#This Row],[Cumulative Labor]:[Cumulative Other]])</f>
        <v>1438615.0456196284</v>
      </c>
      <c r="P180" s="3">
        <f>SUM(day_cash_behind[[#Headers],[Revenue]]:day_cash_behind[[#This Row],[Revenue]])</f>
        <v>774028.29252573522</v>
      </c>
    </row>
    <row r="181" spans="2:16" x14ac:dyDescent="0.45">
      <c r="B181" s="1">
        <v>46564</v>
      </c>
      <c r="C181" s="4">
        <f>SUMIFS(schedule[Labor CPP], schedule[Start Date],"&lt;="&amp;day_cash_behind[[#This Row],[Date]], schedule[Finish Date],"&gt;="&amp;day_cash_behind[[#This Row],[Date]])</f>
        <v>0</v>
      </c>
      <c r="D181" s="4">
        <f>SUMIFS(schedule[Material CPP], schedule[Start Date],"&lt;="&amp;day_cash_behind[[#This Row],[Date]]-$D$2, schedule[Finish Date],"&gt;="&amp;day_cash_behind[[#This Row],[Date]]-$D$2)</f>
        <v>1373.2394366197184</v>
      </c>
      <c r="E181" s="4">
        <f>SUMIFS(schedule[Equipment CPP], schedule[Start Date],"&lt;="&amp;day_cash_behind[[#This Row],[Date]]-$E$2, schedule[Finish Date],"&gt;="&amp;day_cash_behind[[#This Row],[Date]]-$E$2)</f>
        <v>471.69811320754718</v>
      </c>
      <c r="F181" s="4">
        <f>SUMIFS(schedule[Sub CPP], schedule[Start Date],"&lt;="&amp;day_cash_behind[[#This Row],[Date]]-$F$2, schedule[Finish Date],"&gt;="&amp;day_cash_behind[[#This Row],[Date]]-$F$2)</f>
        <v>9186.6197183098593</v>
      </c>
      <c r="G181" s="3">
        <f>SUMIFS(schedule[Other CPP], schedule[Start Date],"&lt;="&amp;day_cash_behind[[#This Row],[Date]]-$G$2, schedule[Finish Date],"&gt;="&amp;day_cash_behind[[#This Row],[Date]]-$G$2)</f>
        <v>314.46540880503147</v>
      </c>
      <c r="H181" s="3">
        <f>SUM(day_cash_behind[[#This Row],[Labor Cost]:[Other Cost]])</f>
        <v>11346.022676942157</v>
      </c>
      <c r="I181" s="3">
        <f>SUMIFS(schedule[Revenue per Day], schedule[Start Date],"&lt;="&amp;day_cash_behind[[#This Row],[Date]]-$I$2, schedule[Finish Date],"&gt;="&amp;day_cash_behind[[#This Row],[Date]]-$I$2)</f>
        <v>25782.328819105296</v>
      </c>
      <c r="J181" s="3">
        <f>SUM(day_cash_behind[[#Headers],[Labor Cost]]:day_cash_behind[[#This Row],[Labor Cost]])</f>
        <v>594999.99999999988</v>
      </c>
      <c r="K181" s="3">
        <f>SUM(day_cash_behind[[#Headers],[Material Cost]]:day_cash_behind[[#This Row],[Material Cost]])</f>
        <v>240651.40845070384</v>
      </c>
      <c r="L181" s="3">
        <f>SUM(day_cash_behind[[#Headers],[Equipment Cost]]:day_cash_behind[[#This Row],[Equipment Cost]])</f>
        <v>80924.528301886618</v>
      </c>
      <c r="M181" s="3">
        <f>SUM(day_cash_behind[[#Headers],[Sub Cost]]:day_cash_behind[[#This Row],[Sub Cost]])</f>
        <v>479602.11267605581</v>
      </c>
      <c r="N181" s="3">
        <f>SUM(day_cash_behind[[#Headers],[Other Cost]]:day_cash_behind[[#This Row],[Other Cost]])</f>
        <v>53783.018867924395</v>
      </c>
      <c r="O181" s="3">
        <f>SUM(day_cash_behind[[#This Row],[Cumulative Labor]:[Cumulative Other]])</f>
        <v>1449961.0682965706</v>
      </c>
      <c r="P181" s="3">
        <f>SUM(day_cash_behind[[#Headers],[Revenue]]:day_cash_behind[[#This Row],[Revenue]])</f>
        <v>799810.6213448405</v>
      </c>
    </row>
    <row r="182" spans="2:16" x14ac:dyDescent="0.45">
      <c r="B182" s="1">
        <v>46565</v>
      </c>
      <c r="C182" s="4">
        <f>SUMIFS(schedule[Labor CPP], schedule[Start Date],"&lt;="&amp;day_cash_behind[[#This Row],[Date]], schedule[Finish Date],"&gt;="&amp;day_cash_behind[[#This Row],[Date]])</f>
        <v>0</v>
      </c>
      <c r="D182" s="4">
        <f>SUMIFS(schedule[Material CPP], schedule[Start Date],"&lt;="&amp;day_cash_behind[[#This Row],[Date]]-$D$2, schedule[Finish Date],"&gt;="&amp;day_cash_behind[[#This Row],[Date]]-$D$2)</f>
        <v>1373.2394366197184</v>
      </c>
      <c r="E182" s="4">
        <f>SUMIFS(schedule[Equipment CPP], schedule[Start Date],"&lt;="&amp;day_cash_behind[[#This Row],[Date]]-$E$2, schedule[Finish Date],"&gt;="&amp;day_cash_behind[[#This Row],[Date]]-$E$2)</f>
        <v>471.69811320754718</v>
      </c>
      <c r="F182" s="4">
        <f>SUMIFS(schedule[Sub CPP], schedule[Start Date],"&lt;="&amp;day_cash_behind[[#This Row],[Date]]-$F$2, schedule[Finish Date],"&gt;="&amp;day_cash_behind[[#This Row],[Date]]-$F$2)</f>
        <v>9186.6197183098593</v>
      </c>
      <c r="G182" s="3">
        <f>SUMIFS(schedule[Other CPP], schedule[Start Date],"&lt;="&amp;day_cash_behind[[#This Row],[Date]]-$G$2, schedule[Finish Date],"&gt;="&amp;day_cash_behind[[#This Row],[Date]]-$G$2)</f>
        <v>314.46540880503147</v>
      </c>
      <c r="H182" s="3">
        <f>SUM(day_cash_behind[[#This Row],[Labor Cost]:[Other Cost]])</f>
        <v>11346.022676942157</v>
      </c>
      <c r="I182" s="3">
        <f>SUMIFS(schedule[Revenue per Day], schedule[Start Date],"&lt;="&amp;day_cash_behind[[#This Row],[Date]]-$I$2, schedule[Finish Date],"&gt;="&amp;day_cash_behind[[#This Row],[Date]]-$I$2)</f>
        <v>25782.328819105296</v>
      </c>
      <c r="J182" s="3">
        <f>SUM(day_cash_behind[[#Headers],[Labor Cost]]:day_cash_behind[[#This Row],[Labor Cost]])</f>
        <v>594999.99999999988</v>
      </c>
      <c r="K182" s="3">
        <f>SUM(day_cash_behind[[#Headers],[Material Cost]]:day_cash_behind[[#This Row],[Material Cost]])</f>
        <v>242024.64788732355</v>
      </c>
      <c r="L182" s="3">
        <f>SUM(day_cash_behind[[#Headers],[Equipment Cost]]:day_cash_behind[[#This Row],[Equipment Cost]])</f>
        <v>81396.226415094163</v>
      </c>
      <c r="M182" s="3">
        <f>SUM(day_cash_behind[[#Headers],[Sub Cost]]:day_cash_behind[[#This Row],[Sub Cost]])</f>
        <v>488788.73239436565</v>
      </c>
      <c r="N182" s="3">
        <f>SUM(day_cash_behind[[#Headers],[Other Cost]]:day_cash_behind[[#This Row],[Other Cost]])</f>
        <v>54097.484276729425</v>
      </c>
      <c r="O182" s="3">
        <f>SUM(day_cash_behind[[#This Row],[Cumulative Labor]:[Cumulative Other]])</f>
        <v>1461307.0909735125</v>
      </c>
      <c r="P182" s="3">
        <f>SUM(day_cash_behind[[#Headers],[Revenue]]:day_cash_behind[[#This Row],[Revenue]])</f>
        <v>825592.95016394579</v>
      </c>
    </row>
    <row r="183" spans="2:16" x14ac:dyDescent="0.45">
      <c r="B183" s="1">
        <v>46566</v>
      </c>
      <c r="C183" s="4">
        <f>SUMIFS(schedule[Labor CPP], schedule[Start Date],"&lt;="&amp;day_cash_behind[[#This Row],[Date]], schedule[Finish Date],"&gt;="&amp;day_cash_behind[[#This Row],[Date]])</f>
        <v>0</v>
      </c>
      <c r="D183" s="4">
        <f>SUMIFS(schedule[Material CPP], schedule[Start Date],"&lt;="&amp;day_cash_behind[[#This Row],[Date]]-$D$2, schedule[Finish Date],"&gt;="&amp;day_cash_behind[[#This Row],[Date]]-$D$2)</f>
        <v>1373.2394366197184</v>
      </c>
      <c r="E183" s="4">
        <f>SUMIFS(schedule[Equipment CPP], schedule[Start Date],"&lt;="&amp;day_cash_behind[[#This Row],[Date]]-$E$2, schedule[Finish Date],"&gt;="&amp;day_cash_behind[[#This Row],[Date]]-$E$2)</f>
        <v>471.69811320754718</v>
      </c>
      <c r="F183" s="4">
        <f>SUMIFS(schedule[Sub CPP], schedule[Start Date],"&lt;="&amp;day_cash_behind[[#This Row],[Date]]-$F$2, schedule[Finish Date],"&gt;="&amp;day_cash_behind[[#This Row],[Date]]-$F$2)</f>
        <v>9186.6197183098593</v>
      </c>
      <c r="G183" s="3">
        <f>SUMIFS(schedule[Other CPP], schedule[Start Date],"&lt;="&amp;day_cash_behind[[#This Row],[Date]]-$G$2, schedule[Finish Date],"&gt;="&amp;day_cash_behind[[#This Row],[Date]]-$G$2)</f>
        <v>314.46540880503147</v>
      </c>
      <c r="H183" s="3">
        <f>SUM(day_cash_behind[[#This Row],[Labor Cost]:[Other Cost]])</f>
        <v>11346.022676942157</v>
      </c>
      <c r="I183" s="3">
        <f>SUMIFS(schedule[Revenue per Day], schedule[Start Date],"&lt;="&amp;day_cash_behind[[#This Row],[Date]]-$I$2, schedule[Finish Date],"&gt;="&amp;day_cash_behind[[#This Row],[Date]]-$I$2)</f>
        <v>25782.328819105296</v>
      </c>
      <c r="J183" s="3">
        <f>SUM(day_cash_behind[[#Headers],[Labor Cost]]:day_cash_behind[[#This Row],[Labor Cost]])</f>
        <v>594999.99999999988</v>
      </c>
      <c r="K183" s="3">
        <f>SUM(day_cash_behind[[#Headers],[Material Cost]]:day_cash_behind[[#This Row],[Material Cost]])</f>
        <v>243397.88732394326</v>
      </c>
      <c r="L183" s="3">
        <f>SUM(day_cash_behind[[#Headers],[Equipment Cost]]:day_cash_behind[[#This Row],[Equipment Cost]])</f>
        <v>81867.924528301708</v>
      </c>
      <c r="M183" s="3">
        <f>SUM(day_cash_behind[[#Headers],[Sub Cost]]:day_cash_behind[[#This Row],[Sub Cost]])</f>
        <v>497975.35211267549</v>
      </c>
      <c r="N183" s="3">
        <f>SUM(day_cash_behind[[#Headers],[Other Cost]]:day_cash_behind[[#This Row],[Other Cost]])</f>
        <v>54411.949685534455</v>
      </c>
      <c r="O183" s="3">
        <f>SUM(day_cash_behind[[#This Row],[Cumulative Labor]:[Cumulative Other]])</f>
        <v>1472653.1136504549</v>
      </c>
      <c r="P183" s="3">
        <f>SUM(day_cash_behind[[#Headers],[Revenue]]:day_cash_behind[[#This Row],[Revenue]])</f>
        <v>851375.27898305107</v>
      </c>
    </row>
    <row r="184" spans="2:16" x14ac:dyDescent="0.45">
      <c r="B184" s="1">
        <v>46567</v>
      </c>
      <c r="C184" s="4">
        <f>SUMIFS(schedule[Labor CPP], schedule[Start Date],"&lt;="&amp;day_cash_behind[[#This Row],[Date]], schedule[Finish Date],"&gt;="&amp;day_cash_behind[[#This Row],[Date]])</f>
        <v>0</v>
      </c>
      <c r="D184" s="4">
        <f>SUMIFS(schedule[Material CPP], schedule[Start Date],"&lt;="&amp;day_cash_behind[[#This Row],[Date]]-$D$2, schedule[Finish Date],"&gt;="&amp;day_cash_behind[[#This Row],[Date]]-$D$2)</f>
        <v>1373.2394366197184</v>
      </c>
      <c r="E184" s="4">
        <f>SUMIFS(schedule[Equipment CPP], schedule[Start Date],"&lt;="&amp;day_cash_behind[[#This Row],[Date]]-$E$2, schedule[Finish Date],"&gt;="&amp;day_cash_behind[[#This Row],[Date]]-$E$2)</f>
        <v>471.69811320754718</v>
      </c>
      <c r="F184" s="4">
        <f>SUMIFS(schedule[Sub CPP], schedule[Start Date],"&lt;="&amp;day_cash_behind[[#This Row],[Date]]-$F$2, schedule[Finish Date],"&gt;="&amp;day_cash_behind[[#This Row],[Date]]-$F$2)</f>
        <v>9186.6197183098593</v>
      </c>
      <c r="G184" s="3">
        <f>SUMIFS(schedule[Other CPP], schedule[Start Date],"&lt;="&amp;day_cash_behind[[#This Row],[Date]]-$G$2, schedule[Finish Date],"&gt;="&amp;day_cash_behind[[#This Row],[Date]]-$G$2)</f>
        <v>314.46540880503147</v>
      </c>
      <c r="H184" s="3">
        <f>SUM(day_cash_behind[[#This Row],[Labor Cost]:[Other Cost]])</f>
        <v>11346.022676942157</v>
      </c>
      <c r="I184" s="3">
        <f>SUMIFS(schedule[Revenue per Day], schedule[Start Date],"&lt;="&amp;day_cash_behind[[#This Row],[Date]]-$I$2, schedule[Finish Date],"&gt;="&amp;day_cash_behind[[#This Row],[Date]]-$I$2)</f>
        <v>25782.328819105296</v>
      </c>
      <c r="J184" s="3">
        <f>SUM(day_cash_behind[[#Headers],[Labor Cost]]:day_cash_behind[[#This Row],[Labor Cost]])</f>
        <v>594999.99999999988</v>
      </c>
      <c r="K184" s="3">
        <f>SUM(day_cash_behind[[#Headers],[Material Cost]]:day_cash_behind[[#This Row],[Material Cost]])</f>
        <v>244771.12676056297</v>
      </c>
      <c r="L184" s="3">
        <f>SUM(day_cash_behind[[#Headers],[Equipment Cost]]:day_cash_behind[[#This Row],[Equipment Cost]])</f>
        <v>82339.622641509253</v>
      </c>
      <c r="M184" s="3">
        <f>SUM(day_cash_behind[[#Headers],[Sub Cost]]:day_cash_behind[[#This Row],[Sub Cost]])</f>
        <v>507161.97183098533</v>
      </c>
      <c r="N184" s="3">
        <f>SUM(day_cash_behind[[#Headers],[Other Cost]]:day_cash_behind[[#This Row],[Other Cost]])</f>
        <v>54726.415094339485</v>
      </c>
      <c r="O184" s="3">
        <f>SUM(day_cash_behind[[#This Row],[Cumulative Labor]:[Cumulative Other]])</f>
        <v>1483999.1363273971</v>
      </c>
      <c r="P184" s="3">
        <f>SUM(day_cash_behind[[#Headers],[Revenue]]:day_cash_behind[[#This Row],[Revenue]])</f>
        <v>877157.60780215636</v>
      </c>
    </row>
    <row r="185" spans="2:16" x14ac:dyDescent="0.45">
      <c r="B185" s="1">
        <v>46568</v>
      </c>
      <c r="C185" s="4">
        <f>SUMIFS(schedule[Labor CPP], schedule[Start Date],"&lt;="&amp;day_cash_behind[[#This Row],[Date]], schedule[Finish Date],"&gt;="&amp;day_cash_behind[[#This Row],[Date]])</f>
        <v>0</v>
      </c>
      <c r="D185" s="4">
        <f>SUMIFS(schedule[Material CPP], schedule[Start Date],"&lt;="&amp;day_cash_behind[[#This Row],[Date]]-$D$2, schedule[Finish Date],"&gt;="&amp;day_cash_behind[[#This Row],[Date]]-$D$2)</f>
        <v>1373.2394366197184</v>
      </c>
      <c r="E185" s="4">
        <f>SUMIFS(schedule[Equipment CPP], schedule[Start Date],"&lt;="&amp;day_cash_behind[[#This Row],[Date]]-$E$2, schedule[Finish Date],"&gt;="&amp;day_cash_behind[[#This Row],[Date]]-$E$2)</f>
        <v>471.69811320754718</v>
      </c>
      <c r="F185" s="4">
        <f>SUMIFS(schedule[Sub CPP], schedule[Start Date],"&lt;="&amp;day_cash_behind[[#This Row],[Date]]-$F$2, schedule[Finish Date],"&gt;="&amp;day_cash_behind[[#This Row],[Date]]-$F$2)</f>
        <v>1936.6197183098591</v>
      </c>
      <c r="G185" s="3">
        <f>SUMIFS(schedule[Other CPP], schedule[Start Date],"&lt;="&amp;day_cash_behind[[#This Row],[Date]]-$G$2, schedule[Finish Date],"&gt;="&amp;day_cash_behind[[#This Row],[Date]]-$G$2)</f>
        <v>314.46540880503147</v>
      </c>
      <c r="H185" s="3">
        <f>SUM(day_cash_behind[[#This Row],[Labor Cost]:[Other Cost]])</f>
        <v>4096.0226769421561</v>
      </c>
      <c r="I185" s="3">
        <f>SUMIFS(schedule[Revenue per Day], schedule[Start Date],"&lt;="&amp;day_cash_behind[[#This Row],[Date]]-$I$2, schedule[Finish Date],"&gt;="&amp;day_cash_behind[[#This Row],[Date]]-$I$2)</f>
        <v>25782.328819105296</v>
      </c>
      <c r="J185" s="3">
        <f>SUM(day_cash_behind[[#Headers],[Labor Cost]]:day_cash_behind[[#This Row],[Labor Cost]])</f>
        <v>594999.99999999988</v>
      </c>
      <c r="K185" s="3">
        <f>SUM(day_cash_behind[[#Headers],[Material Cost]]:day_cash_behind[[#This Row],[Material Cost]])</f>
        <v>246144.36619718268</v>
      </c>
      <c r="L185" s="3">
        <f>SUM(day_cash_behind[[#Headers],[Equipment Cost]]:day_cash_behind[[#This Row],[Equipment Cost]])</f>
        <v>82811.320754716799</v>
      </c>
      <c r="M185" s="3">
        <f>SUM(day_cash_behind[[#Headers],[Sub Cost]]:day_cash_behind[[#This Row],[Sub Cost]])</f>
        <v>509098.59154929518</v>
      </c>
      <c r="N185" s="3">
        <f>SUM(day_cash_behind[[#Headers],[Other Cost]]:day_cash_behind[[#This Row],[Other Cost]])</f>
        <v>55040.880503144515</v>
      </c>
      <c r="O185" s="3">
        <f>SUM(day_cash_behind[[#This Row],[Cumulative Labor]:[Cumulative Other]])</f>
        <v>1488095.159004339</v>
      </c>
      <c r="P185" s="3">
        <f>SUM(day_cash_behind[[#Headers],[Revenue]]:day_cash_behind[[#This Row],[Revenue]])</f>
        <v>902939.93662126164</v>
      </c>
    </row>
    <row r="186" spans="2:16" x14ac:dyDescent="0.45">
      <c r="B186" s="1">
        <v>46569</v>
      </c>
      <c r="C186" s="4">
        <f>SUMIFS(schedule[Labor CPP], schedule[Start Date],"&lt;="&amp;day_cash_behind[[#This Row],[Date]], schedule[Finish Date],"&gt;="&amp;day_cash_behind[[#This Row],[Date]])</f>
        <v>0</v>
      </c>
      <c r="D186" s="4">
        <f>SUMIFS(schedule[Material CPP], schedule[Start Date],"&lt;="&amp;day_cash_behind[[#This Row],[Date]]-$D$2, schedule[Finish Date],"&gt;="&amp;day_cash_behind[[#This Row],[Date]]-$D$2)</f>
        <v>1373.2394366197184</v>
      </c>
      <c r="E186" s="4">
        <f>SUMIFS(schedule[Equipment CPP], schedule[Start Date],"&lt;="&amp;day_cash_behind[[#This Row],[Date]]-$E$2, schedule[Finish Date],"&gt;="&amp;day_cash_behind[[#This Row],[Date]]-$E$2)</f>
        <v>471.69811320754718</v>
      </c>
      <c r="F186" s="4">
        <f>SUMIFS(schedule[Sub CPP], schedule[Start Date],"&lt;="&amp;day_cash_behind[[#This Row],[Date]]-$F$2, schedule[Finish Date],"&gt;="&amp;day_cash_behind[[#This Row],[Date]]-$F$2)</f>
        <v>1936.6197183098591</v>
      </c>
      <c r="G186" s="3">
        <f>SUMIFS(schedule[Other CPP], schedule[Start Date],"&lt;="&amp;day_cash_behind[[#This Row],[Date]]-$G$2, schedule[Finish Date],"&gt;="&amp;day_cash_behind[[#This Row],[Date]]-$G$2)</f>
        <v>314.46540880503147</v>
      </c>
      <c r="H186" s="3">
        <f>SUM(day_cash_behind[[#This Row],[Labor Cost]:[Other Cost]])</f>
        <v>4096.0226769421561</v>
      </c>
      <c r="I186" s="3">
        <f>SUMIFS(schedule[Revenue per Day], schedule[Start Date],"&lt;="&amp;day_cash_behind[[#This Row],[Date]]-$I$2, schedule[Finish Date],"&gt;="&amp;day_cash_behind[[#This Row],[Date]]-$I$2)</f>
        <v>32035.849945865859</v>
      </c>
      <c r="J186" s="3">
        <f>SUM(day_cash_behind[[#Headers],[Labor Cost]]:day_cash_behind[[#This Row],[Labor Cost]])</f>
        <v>594999.99999999988</v>
      </c>
      <c r="K186" s="3">
        <f>SUM(day_cash_behind[[#Headers],[Material Cost]]:day_cash_behind[[#This Row],[Material Cost]])</f>
        <v>247517.60563380239</v>
      </c>
      <c r="L186" s="3">
        <f>SUM(day_cash_behind[[#Headers],[Equipment Cost]]:day_cash_behind[[#This Row],[Equipment Cost]])</f>
        <v>83283.018867924344</v>
      </c>
      <c r="M186" s="3">
        <f>SUM(day_cash_behind[[#Headers],[Sub Cost]]:day_cash_behind[[#This Row],[Sub Cost]])</f>
        <v>511035.21126760502</v>
      </c>
      <c r="N186" s="3">
        <f>SUM(day_cash_behind[[#Headers],[Other Cost]]:day_cash_behind[[#This Row],[Other Cost]])</f>
        <v>55355.345911949546</v>
      </c>
      <c r="O186" s="3">
        <f>SUM(day_cash_behind[[#This Row],[Cumulative Labor]:[Cumulative Other]])</f>
        <v>1492191.1816812812</v>
      </c>
      <c r="P186" s="3">
        <f>SUM(day_cash_behind[[#Headers],[Revenue]]:day_cash_behind[[#This Row],[Revenue]])</f>
        <v>934975.78656712745</v>
      </c>
    </row>
    <row r="187" spans="2:16" x14ac:dyDescent="0.45">
      <c r="B187" s="1">
        <v>46570</v>
      </c>
      <c r="C187" s="4">
        <f>SUMIFS(schedule[Labor CPP], schedule[Start Date],"&lt;="&amp;day_cash_behind[[#This Row],[Date]], schedule[Finish Date],"&gt;="&amp;day_cash_behind[[#This Row],[Date]])</f>
        <v>0</v>
      </c>
      <c r="D187" s="4">
        <f>SUMIFS(schedule[Material CPP], schedule[Start Date],"&lt;="&amp;day_cash_behind[[#This Row],[Date]]-$D$2, schedule[Finish Date],"&gt;="&amp;day_cash_behind[[#This Row],[Date]]-$D$2)</f>
        <v>1373.2394366197184</v>
      </c>
      <c r="E187" s="4">
        <f>SUMIFS(schedule[Equipment CPP], schedule[Start Date],"&lt;="&amp;day_cash_behind[[#This Row],[Date]]-$E$2, schedule[Finish Date],"&gt;="&amp;day_cash_behind[[#This Row],[Date]]-$E$2)</f>
        <v>471.69811320754718</v>
      </c>
      <c r="F187" s="4">
        <f>SUMIFS(schedule[Sub CPP], schedule[Start Date],"&lt;="&amp;day_cash_behind[[#This Row],[Date]]-$F$2, schedule[Finish Date],"&gt;="&amp;day_cash_behind[[#This Row],[Date]]-$F$2)</f>
        <v>1936.6197183098591</v>
      </c>
      <c r="G187" s="3">
        <f>SUMIFS(schedule[Other CPP], schedule[Start Date],"&lt;="&amp;day_cash_behind[[#This Row],[Date]]-$G$2, schedule[Finish Date],"&gt;="&amp;day_cash_behind[[#This Row],[Date]]-$G$2)</f>
        <v>314.46540880503147</v>
      </c>
      <c r="H187" s="3">
        <f>SUM(day_cash_behind[[#This Row],[Labor Cost]:[Other Cost]])</f>
        <v>4096.0226769421561</v>
      </c>
      <c r="I187" s="3">
        <f>SUMIFS(schedule[Revenue per Day], schedule[Start Date],"&lt;="&amp;day_cash_behind[[#This Row],[Date]]-$I$2, schedule[Finish Date],"&gt;="&amp;day_cash_behind[[#This Row],[Date]]-$I$2)</f>
        <v>19444.085239983506</v>
      </c>
      <c r="J187" s="3">
        <f>SUM(day_cash_behind[[#Headers],[Labor Cost]]:day_cash_behind[[#This Row],[Labor Cost]])</f>
        <v>594999.99999999988</v>
      </c>
      <c r="K187" s="3">
        <f>SUM(day_cash_behind[[#Headers],[Material Cost]]:day_cash_behind[[#This Row],[Material Cost]])</f>
        <v>248890.8450704221</v>
      </c>
      <c r="L187" s="3">
        <f>SUM(day_cash_behind[[#Headers],[Equipment Cost]]:day_cash_behind[[#This Row],[Equipment Cost]])</f>
        <v>83754.716981131889</v>
      </c>
      <c r="M187" s="3">
        <f>SUM(day_cash_behind[[#Headers],[Sub Cost]]:day_cash_behind[[#This Row],[Sub Cost]])</f>
        <v>512971.83098591486</v>
      </c>
      <c r="N187" s="3">
        <f>SUM(day_cash_behind[[#Headers],[Other Cost]]:day_cash_behind[[#This Row],[Other Cost]])</f>
        <v>55669.811320754576</v>
      </c>
      <c r="O187" s="3">
        <f>SUM(day_cash_behind[[#This Row],[Cumulative Labor]:[Cumulative Other]])</f>
        <v>1496287.2043582231</v>
      </c>
      <c r="P187" s="3">
        <f>SUM(day_cash_behind[[#Headers],[Revenue]]:day_cash_behind[[#This Row],[Revenue]])</f>
        <v>954419.87180711096</v>
      </c>
    </row>
    <row r="188" spans="2:16" x14ac:dyDescent="0.45">
      <c r="B188" s="1">
        <v>46571</v>
      </c>
      <c r="C188" s="4">
        <f>SUMIFS(schedule[Labor CPP], schedule[Start Date],"&lt;="&amp;day_cash_behind[[#This Row],[Date]], schedule[Finish Date],"&gt;="&amp;day_cash_behind[[#This Row],[Date]])</f>
        <v>0</v>
      </c>
      <c r="D188" s="4">
        <f>SUMIFS(schedule[Material CPP], schedule[Start Date],"&lt;="&amp;day_cash_behind[[#This Row],[Date]]-$D$2, schedule[Finish Date],"&gt;="&amp;day_cash_behind[[#This Row],[Date]]-$D$2)</f>
        <v>1373.2394366197184</v>
      </c>
      <c r="E188" s="4">
        <f>SUMIFS(schedule[Equipment CPP], schedule[Start Date],"&lt;="&amp;day_cash_behind[[#This Row],[Date]]-$E$2, schedule[Finish Date],"&gt;="&amp;day_cash_behind[[#This Row],[Date]]-$E$2)</f>
        <v>471.69811320754718</v>
      </c>
      <c r="F188" s="4">
        <f>SUMIFS(schedule[Sub CPP], schedule[Start Date],"&lt;="&amp;day_cash_behind[[#This Row],[Date]]-$F$2, schedule[Finish Date],"&gt;="&amp;day_cash_behind[[#This Row],[Date]]-$F$2)</f>
        <v>1936.6197183098591</v>
      </c>
      <c r="G188" s="3">
        <f>SUMIFS(schedule[Other CPP], schedule[Start Date],"&lt;="&amp;day_cash_behind[[#This Row],[Date]]-$G$2, schedule[Finish Date],"&gt;="&amp;day_cash_behind[[#This Row],[Date]]-$G$2)</f>
        <v>314.46540880503147</v>
      </c>
      <c r="H188" s="3">
        <f>SUM(day_cash_behind[[#This Row],[Labor Cost]:[Other Cost]])</f>
        <v>4096.0226769421561</v>
      </c>
      <c r="I188" s="3">
        <f>SUMIFS(schedule[Revenue per Day], schedule[Start Date],"&lt;="&amp;day_cash_behind[[#This Row],[Date]]-$I$2, schedule[Finish Date],"&gt;="&amp;day_cash_behind[[#This Row],[Date]]-$I$2)</f>
        <v>19444.085239983506</v>
      </c>
      <c r="J188" s="3">
        <f>SUM(day_cash_behind[[#Headers],[Labor Cost]]:day_cash_behind[[#This Row],[Labor Cost]])</f>
        <v>594999.99999999988</v>
      </c>
      <c r="K188" s="3">
        <f>SUM(day_cash_behind[[#Headers],[Material Cost]]:day_cash_behind[[#This Row],[Material Cost]])</f>
        <v>250264.08450704181</v>
      </c>
      <c r="L188" s="3">
        <f>SUM(day_cash_behind[[#Headers],[Equipment Cost]]:day_cash_behind[[#This Row],[Equipment Cost]])</f>
        <v>84226.415094339434</v>
      </c>
      <c r="M188" s="3">
        <f>SUM(day_cash_behind[[#Headers],[Sub Cost]]:day_cash_behind[[#This Row],[Sub Cost]])</f>
        <v>514908.4507042247</v>
      </c>
      <c r="N188" s="3">
        <f>SUM(day_cash_behind[[#Headers],[Other Cost]]:day_cash_behind[[#This Row],[Other Cost]])</f>
        <v>55984.276729559606</v>
      </c>
      <c r="O188" s="3">
        <f>SUM(day_cash_behind[[#This Row],[Cumulative Labor]:[Cumulative Other]])</f>
        <v>1500383.2270351653</v>
      </c>
      <c r="P188" s="3">
        <f>SUM(day_cash_behind[[#Headers],[Revenue]]:day_cash_behind[[#This Row],[Revenue]])</f>
        <v>973863.95704709447</v>
      </c>
    </row>
    <row r="189" spans="2:16" x14ac:dyDescent="0.45">
      <c r="B189" s="1">
        <v>46572</v>
      </c>
      <c r="C189" s="4">
        <f>SUMIFS(schedule[Labor CPP], schedule[Start Date],"&lt;="&amp;day_cash_behind[[#This Row],[Date]], schedule[Finish Date],"&gt;="&amp;day_cash_behind[[#This Row],[Date]])</f>
        <v>0</v>
      </c>
      <c r="D189" s="4">
        <f>SUMIFS(schedule[Material CPP], schedule[Start Date],"&lt;="&amp;day_cash_behind[[#This Row],[Date]]-$D$2, schedule[Finish Date],"&gt;="&amp;day_cash_behind[[#This Row],[Date]]-$D$2)</f>
        <v>1373.2394366197184</v>
      </c>
      <c r="E189" s="4">
        <f>SUMIFS(schedule[Equipment CPP], schedule[Start Date],"&lt;="&amp;day_cash_behind[[#This Row],[Date]]-$E$2, schedule[Finish Date],"&gt;="&amp;day_cash_behind[[#This Row],[Date]]-$E$2)</f>
        <v>471.69811320754718</v>
      </c>
      <c r="F189" s="4">
        <f>SUMIFS(schedule[Sub CPP], schedule[Start Date],"&lt;="&amp;day_cash_behind[[#This Row],[Date]]-$F$2, schedule[Finish Date],"&gt;="&amp;day_cash_behind[[#This Row],[Date]]-$F$2)</f>
        <v>1936.6197183098591</v>
      </c>
      <c r="G189" s="3">
        <f>SUMIFS(schedule[Other CPP], schedule[Start Date],"&lt;="&amp;day_cash_behind[[#This Row],[Date]]-$G$2, schedule[Finish Date],"&gt;="&amp;day_cash_behind[[#This Row],[Date]]-$G$2)</f>
        <v>314.46540880503147</v>
      </c>
      <c r="H189" s="3">
        <f>SUM(day_cash_behind[[#This Row],[Labor Cost]:[Other Cost]])</f>
        <v>4096.0226769421561</v>
      </c>
      <c r="I189" s="3">
        <f>SUMIFS(schedule[Revenue per Day], schedule[Start Date],"&lt;="&amp;day_cash_behind[[#This Row],[Date]]-$I$2, schedule[Finish Date],"&gt;="&amp;day_cash_behind[[#This Row],[Date]]-$I$2)</f>
        <v>27854.085239983506</v>
      </c>
      <c r="J189" s="3">
        <f>SUM(day_cash_behind[[#Headers],[Labor Cost]]:day_cash_behind[[#This Row],[Labor Cost]])</f>
        <v>594999.99999999988</v>
      </c>
      <c r="K189" s="3">
        <f>SUM(day_cash_behind[[#Headers],[Material Cost]]:day_cash_behind[[#This Row],[Material Cost]])</f>
        <v>251637.32394366153</v>
      </c>
      <c r="L189" s="3">
        <f>SUM(day_cash_behind[[#Headers],[Equipment Cost]]:day_cash_behind[[#This Row],[Equipment Cost]])</f>
        <v>84698.11320754698</v>
      </c>
      <c r="M189" s="3">
        <f>SUM(day_cash_behind[[#Headers],[Sub Cost]]:day_cash_behind[[#This Row],[Sub Cost]])</f>
        <v>516845.07042253454</v>
      </c>
      <c r="N189" s="3">
        <f>SUM(day_cash_behind[[#Headers],[Other Cost]]:day_cash_behind[[#This Row],[Other Cost]])</f>
        <v>56298.742138364636</v>
      </c>
      <c r="O189" s="3">
        <f>SUM(day_cash_behind[[#This Row],[Cumulative Labor]:[Cumulative Other]])</f>
        <v>1504479.2497121075</v>
      </c>
      <c r="P189" s="3">
        <f>SUM(day_cash_behind[[#Headers],[Revenue]]:day_cash_behind[[#This Row],[Revenue]])</f>
        <v>1001718.042287078</v>
      </c>
    </row>
    <row r="190" spans="2:16" x14ac:dyDescent="0.45">
      <c r="B190" s="1">
        <v>46573</v>
      </c>
      <c r="C190" s="4">
        <f>SUMIFS(schedule[Labor CPP], schedule[Start Date],"&lt;="&amp;day_cash_behind[[#This Row],[Date]], schedule[Finish Date],"&gt;="&amp;day_cash_behind[[#This Row],[Date]])</f>
        <v>0</v>
      </c>
      <c r="D190" s="4">
        <f>SUMIFS(schedule[Material CPP], schedule[Start Date],"&lt;="&amp;day_cash_behind[[#This Row],[Date]]-$D$2, schedule[Finish Date],"&gt;="&amp;day_cash_behind[[#This Row],[Date]]-$D$2)</f>
        <v>1373.2394366197184</v>
      </c>
      <c r="E190" s="4">
        <f>SUMIFS(schedule[Equipment CPP], schedule[Start Date],"&lt;="&amp;day_cash_behind[[#This Row],[Date]]-$E$2, schedule[Finish Date],"&gt;="&amp;day_cash_behind[[#This Row],[Date]]-$E$2)</f>
        <v>471.69811320754718</v>
      </c>
      <c r="F190" s="4">
        <f>SUMIFS(schedule[Sub CPP], schedule[Start Date],"&lt;="&amp;day_cash_behind[[#This Row],[Date]]-$F$2, schedule[Finish Date],"&gt;="&amp;day_cash_behind[[#This Row],[Date]]-$F$2)</f>
        <v>1936.6197183098591</v>
      </c>
      <c r="G190" s="3">
        <f>SUMIFS(schedule[Other CPP], schedule[Start Date],"&lt;="&amp;day_cash_behind[[#This Row],[Date]]-$G$2, schedule[Finish Date],"&gt;="&amp;day_cash_behind[[#This Row],[Date]]-$G$2)</f>
        <v>314.46540880503147</v>
      </c>
      <c r="H190" s="3">
        <f>SUM(day_cash_behind[[#This Row],[Labor Cost]:[Other Cost]])</f>
        <v>4096.0226769421561</v>
      </c>
      <c r="I190" s="3">
        <f>SUMIFS(schedule[Revenue per Day], schedule[Start Date],"&lt;="&amp;day_cash_behind[[#This Row],[Date]]-$I$2, schedule[Finish Date],"&gt;="&amp;day_cash_behind[[#This Row],[Date]]-$I$2)</f>
        <v>27854.085239983506</v>
      </c>
      <c r="J190" s="3">
        <f>SUM(day_cash_behind[[#Headers],[Labor Cost]]:day_cash_behind[[#This Row],[Labor Cost]])</f>
        <v>594999.99999999988</v>
      </c>
      <c r="K190" s="3">
        <f>SUM(day_cash_behind[[#Headers],[Material Cost]]:day_cash_behind[[#This Row],[Material Cost]])</f>
        <v>253010.56338028124</v>
      </c>
      <c r="L190" s="3">
        <f>SUM(day_cash_behind[[#Headers],[Equipment Cost]]:day_cash_behind[[#This Row],[Equipment Cost]])</f>
        <v>85169.811320754525</v>
      </c>
      <c r="M190" s="3">
        <f>SUM(day_cash_behind[[#Headers],[Sub Cost]]:day_cash_behind[[#This Row],[Sub Cost]])</f>
        <v>518781.69014084438</v>
      </c>
      <c r="N190" s="3">
        <f>SUM(day_cash_behind[[#Headers],[Other Cost]]:day_cash_behind[[#This Row],[Other Cost]])</f>
        <v>56613.207547169666</v>
      </c>
      <c r="O190" s="3">
        <f>SUM(day_cash_behind[[#This Row],[Cumulative Labor]:[Cumulative Other]])</f>
        <v>1508575.2723890496</v>
      </c>
      <c r="P190" s="3">
        <f>SUM(day_cash_behind[[#Headers],[Revenue]]:day_cash_behind[[#This Row],[Revenue]])</f>
        <v>1029572.1275270615</v>
      </c>
    </row>
    <row r="191" spans="2:16" x14ac:dyDescent="0.45">
      <c r="B191" s="1">
        <v>46574</v>
      </c>
      <c r="C191" s="4">
        <f>SUMIFS(schedule[Labor CPP], schedule[Start Date],"&lt;="&amp;day_cash_behind[[#This Row],[Date]], schedule[Finish Date],"&gt;="&amp;day_cash_behind[[#This Row],[Date]])</f>
        <v>0</v>
      </c>
      <c r="D191" s="4">
        <f>SUMIFS(schedule[Material CPP], schedule[Start Date],"&lt;="&amp;day_cash_behind[[#This Row],[Date]]-$D$2, schedule[Finish Date],"&gt;="&amp;day_cash_behind[[#This Row],[Date]]-$D$2)</f>
        <v>1373.2394366197184</v>
      </c>
      <c r="E191" s="4">
        <f>SUMIFS(schedule[Equipment CPP], schedule[Start Date],"&lt;="&amp;day_cash_behind[[#This Row],[Date]]-$E$2, schedule[Finish Date],"&gt;="&amp;day_cash_behind[[#This Row],[Date]]-$E$2)</f>
        <v>471.69811320754718</v>
      </c>
      <c r="F191" s="4">
        <f>SUMIFS(schedule[Sub CPP], schedule[Start Date],"&lt;="&amp;day_cash_behind[[#This Row],[Date]]-$F$2, schedule[Finish Date],"&gt;="&amp;day_cash_behind[[#This Row],[Date]]-$F$2)</f>
        <v>1936.6197183098591</v>
      </c>
      <c r="G191" s="3">
        <f>SUMIFS(schedule[Other CPP], schedule[Start Date],"&lt;="&amp;day_cash_behind[[#This Row],[Date]]-$G$2, schedule[Finish Date],"&gt;="&amp;day_cash_behind[[#This Row],[Date]]-$G$2)</f>
        <v>314.46540880503147</v>
      </c>
      <c r="H191" s="3">
        <f>SUM(day_cash_behind[[#This Row],[Labor Cost]:[Other Cost]])</f>
        <v>4096.0226769421561</v>
      </c>
      <c r="I191" s="3">
        <f>SUMIFS(schedule[Revenue per Day], schedule[Start Date],"&lt;="&amp;day_cash_behind[[#This Row],[Date]]-$I$2, schedule[Finish Date],"&gt;="&amp;day_cash_behind[[#This Row],[Date]]-$I$2)</f>
        <v>27854.085239983506</v>
      </c>
      <c r="J191" s="3">
        <f>SUM(day_cash_behind[[#Headers],[Labor Cost]]:day_cash_behind[[#This Row],[Labor Cost]])</f>
        <v>594999.99999999988</v>
      </c>
      <c r="K191" s="3">
        <f>SUM(day_cash_behind[[#Headers],[Material Cost]]:day_cash_behind[[#This Row],[Material Cost]])</f>
        <v>254383.80281690095</v>
      </c>
      <c r="L191" s="3">
        <f>SUM(day_cash_behind[[#Headers],[Equipment Cost]]:day_cash_behind[[#This Row],[Equipment Cost]])</f>
        <v>85641.50943396207</v>
      </c>
      <c r="M191" s="3">
        <f>SUM(day_cash_behind[[#Headers],[Sub Cost]]:day_cash_behind[[#This Row],[Sub Cost]])</f>
        <v>520718.30985915422</v>
      </c>
      <c r="N191" s="3">
        <f>SUM(day_cash_behind[[#Headers],[Other Cost]]:day_cash_behind[[#This Row],[Other Cost]])</f>
        <v>56927.672955974696</v>
      </c>
      <c r="O191" s="3">
        <f>SUM(day_cash_behind[[#This Row],[Cumulative Labor]:[Cumulative Other]])</f>
        <v>1512671.2950659918</v>
      </c>
      <c r="P191" s="3">
        <f>SUM(day_cash_behind[[#Headers],[Revenue]]:day_cash_behind[[#This Row],[Revenue]])</f>
        <v>1057426.212767045</v>
      </c>
    </row>
    <row r="192" spans="2:16" x14ac:dyDescent="0.45">
      <c r="B192" s="1">
        <v>46575</v>
      </c>
      <c r="C192" s="4">
        <f>SUMIFS(schedule[Labor CPP], schedule[Start Date],"&lt;="&amp;day_cash_behind[[#This Row],[Date]], schedule[Finish Date],"&gt;="&amp;day_cash_behind[[#This Row],[Date]])</f>
        <v>0</v>
      </c>
      <c r="D192" s="4">
        <f>SUMIFS(schedule[Material CPP], schedule[Start Date],"&lt;="&amp;day_cash_behind[[#This Row],[Date]]-$D$2, schedule[Finish Date],"&gt;="&amp;day_cash_behind[[#This Row],[Date]]-$D$2)</f>
        <v>1373.2394366197184</v>
      </c>
      <c r="E192" s="4">
        <f>SUMIFS(schedule[Equipment CPP], schedule[Start Date],"&lt;="&amp;day_cash_behind[[#This Row],[Date]]-$E$2, schedule[Finish Date],"&gt;="&amp;day_cash_behind[[#This Row],[Date]]-$E$2)</f>
        <v>471.69811320754718</v>
      </c>
      <c r="F192" s="4">
        <f>SUMIFS(schedule[Sub CPP], schedule[Start Date],"&lt;="&amp;day_cash_behind[[#This Row],[Date]]-$F$2, schedule[Finish Date],"&gt;="&amp;day_cash_behind[[#This Row],[Date]]-$F$2)</f>
        <v>1936.6197183098591</v>
      </c>
      <c r="G192" s="3">
        <f>SUMIFS(schedule[Other CPP], schedule[Start Date],"&lt;="&amp;day_cash_behind[[#This Row],[Date]]-$G$2, schedule[Finish Date],"&gt;="&amp;day_cash_behind[[#This Row],[Date]]-$G$2)</f>
        <v>314.46540880503147</v>
      </c>
      <c r="H192" s="3">
        <f>SUM(day_cash_behind[[#This Row],[Labor Cost]:[Other Cost]])</f>
        <v>4096.0226769421561</v>
      </c>
      <c r="I192" s="3">
        <f>SUMIFS(schedule[Revenue per Day], schedule[Start Date],"&lt;="&amp;day_cash_behind[[#This Row],[Date]]-$I$2, schedule[Finish Date],"&gt;="&amp;day_cash_behind[[#This Row],[Date]]-$I$2)</f>
        <v>27854.085239983506</v>
      </c>
      <c r="J192" s="3">
        <f>SUM(day_cash_behind[[#Headers],[Labor Cost]]:day_cash_behind[[#This Row],[Labor Cost]])</f>
        <v>594999.99999999988</v>
      </c>
      <c r="K192" s="3">
        <f>SUM(day_cash_behind[[#Headers],[Material Cost]]:day_cash_behind[[#This Row],[Material Cost]])</f>
        <v>255757.04225352066</v>
      </c>
      <c r="L192" s="3">
        <f>SUM(day_cash_behind[[#Headers],[Equipment Cost]]:day_cash_behind[[#This Row],[Equipment Cost]])</f>
        <v>86113.207547169615</v>
      </c>
      <c r="M192" s="3">
        <f>SUM(day_cash_behind[[#Headers],[Sub Cost]]:day_cash_behind[[#This Row],[Sub Cost]])</f>
        <v>522654.92957746406</v>
      </c>
      <c r="N192" s="3">
        <f>SUM(day_cash_behind[[#Headers],[Other Cost]]:day_cash_behind[[#This Row],[Other Cost]])</f>
        <v>57242.138364779727</v>
      </c>
      <c r="O192" s="3">
        <f>SUM(day_cash_behind[[#This Row],[Cumulative Labor]:[Cumulative Other]])</f>
        <v>1516767.317742934</v>
      </c>
      <c r="P192" s="3">
        <f>SUM(day_cash_behind[[#Headers],[Revenue]]:day_cash_behind[[#This Row],[Revenue]])</f>
        <v>1085280.2980070284</v>
      </c>
    </row>
    <row r="193" spans="2:16" x14ac:dyDescent="0.45">
      <c r="B193" s="1">
        <v>46576</v>
      </c>
      <c r="C193" s="4">
        <f>SUMIFS(schedule[Labor CPP], schedule[Start Date],"&lt;="&amp;day_cash_behind[[#This Row],[Date]], schedule[Finish Date],"&gt;="&amp;day_cash_behind[[#This Row],[Date]])</f>
        <v>0</v>
      </c>
      <c r="D193" s="4">
        <f>SUMIFS(schedule[Material CPP], schedule[Start Date],"&lt;="&amp;day_cash_behind[[#This Row],[Date]]-$D$2, schedule[Finish Date],"&gt;="&amp;day_cash_behind[[#This Row],[Date]]-$D$2)</f>
        <v>1373.2394366197184</v>
      </c>
      <c r="E193" s="4">
        <f>SUMIFS(schedule[Equipment CPP], schedule[Start Date],"&lt;="&amp;day_cash_behind[[#This Row],[Date]]-$E$2, schedule[Finish Date],"&gt;="&amp;day_cash_behind[[#This Row],[Date]]-$E$2)</f>
        <v>471.69811320754718</v>
      </c>
      <c r="F193" s="4">
        <f>SUMIFS(schedule[Sub CPP], schedule[Start Date],"&lt;="&amp;day_cash_behind[[#This Row],[Date]]-$F$2, schedule[Finish Date],"&gt;="&amp;day_cash_behind[[#This Row],[Date]]-$F$2)</f>
        <v>1936.6197183098591</v>
      </c>
      <c r="G193" s="3">
        <f>SUMIFS(schedule[Other CPP], schedule[Start Date],"&lt;="&amp;day_cash_behind[[#This Row],[Date]]-$G$2, schedule[Finish Date],"&gt;="&amp;day_cash_behind[[#This Row],[Date]]-$G$2)</f>
        <v>314.46540880503147</v>
      </c>
      <c r="H193" s="3">
        <f>SUM(day_cash_behind[[#This Row],[Labor Cost]:[Other Cost]])</f>
        <v>4096.0226769421561</v>
      </c>
      <c r="I193" s="3">
        <f>SUMIFS(schedule[Revenue per Day], schedule[Start Date],"&lt;="&amp;day_cash_behind[[#This Row],[Date]]-$I$2, schedule[Finish Date],"&gt;="&amp;day_cash_behind[[#This Row],[Date]]-$I$2)</f>
        <v>27854.085239983506</v>
      </c>
      <c r="J193" s="3">
        <f>SUM(day_cash_behind[[#Headers],[Labor Cost]]:day_cash_behind[[#This Row],[Labor Cost]])</f>
        <v>594999.99999999988</v>
      </c>
      <c r="K193" s="3">
        <f>SUM(day_cash_behind[[#Headers],[Material Cost]]:day_cash_behind[[#This Row],[Material Cost]])</f>
        <v>257130.28169014037</v>
      </c>
      <c r="L193" s="3">
        <f>SUM(day_cash_behind[[#Headers],[Equipment Cost]]:day_cash_behind[[#This Row],[Equipment Cost]])</f>
        <v>86584.905660377161</v>
      </c>
      <c r="M193" s="3">
        <f>SUM(day_cash_behind[[#Headers],[Sub Cost]]:day_cash_behind[[#This Row],[Sub Cost]])</f>
        <v>524591.54929577396</v>
      </c>
      <c r="N193" s="3">
        <f>SUM(day_cash_behind[[#Headers],[Other Cost]]:day_cash_behind[[#This Row],[Other Cost]])</f>
        <v>57556.603773584757</v>
      </c>
      <c r="O193" s="3">
        <f>SUM(day_cash_behind[[#This Row],[Cumulative Labor]:[Cumulative Other]])</f>
        <v>1520863.3404198762</v>
      </c>
      <c r="P193" s="3">
        <f>SUM(day_cash_behind[[#Headers],[Revenue]]:day_cash_behind[[#This Row],[Revenue]])</f>
        <v>1113134.3832470118</v>
      </c>
    </row>
    <row r="194" spans="2:16" x14ac:dyDescent="0.45">
      <c r="B194" s="1">
        <v>46577</v>
      </c>
      <c r="C194" s="4">
        <f>SUMIFS(schedule[Labor CPP], schedule[Start Date],"&lt;="&amp;day_cash_behind[[#This Row],[Date]], schedule[Finish Date],"&gt;="&amp;day_cash_behind[[#This Row],[Date]])</f>
        <v>0</v>
      </c>
      <c r="D194" s="4">
        <f>SUMIFS(schedule[Material CPP], schedule[Start Date],"&lt;="&amp;day_cash_behind[[#This Row],[Date]]-$D$2, schedule[Finish Date],"&gt;="&amp;day_cash_behind[[#This Row],[Date]]-$D$2)</f>
        <v>1373.2394366197184</v>
      </c>
      <c r="E194" s="4">
        <f>SUMIFS(schedule[Equipment CPP], schedule[Start Date],"&lt;="&amp;day_cash_behind[[#This Row],[Date]]-$E$2, schedule[Finish Date],"&gt;="&amp;day_cash_behind[[#This Row],[Date]]-$E$2)</f>
        <v>471.69811320754718</v>
      </c>
      <c r="F194" s="4">
        <f>SUMIFS(schedule[Sub CPP], schedule[Start Date],"&lt;="&amp;day_cash_behind[[#This Row],[Date]]-$F$2, schedule[Finish Date],"&gt;="&amp;day_cash_behind[[#This Row],[Date]]-$F$2)</f>
        <v>1936.6197183098591</v>
      </c>
      <c r="G194" s="3">
        <f>SUMIFS(schedule[Other CPP], schedule[Start Date],"&lt;="&amp;day_cash_behind[[#This Row],[Date]]-$G$2, schedule[Finish Date],"&gt;="&amp;day_cash_behind[[#This Row],[Date]]-$G$2)</f>
        <v>314.46540880503147</v>
      </c>
      <c r="H194" s="3">
        <f>SUM(day_cash_behind[[#This Row],[Labor Cost]:[Other Cost]])</f>
        <v>4096.0226769421561</v>
      </c>
      <c r="I194" s="3">
        <f>SUMIFS(schedule[Revenue per Day], schedule[Start Date],"&lt;="&amp;day_cash_behind[[#This Row],[Date]]-$I$2, schedule[Finish Date],"&gt;="&amp;day_cash_behind[[#This Row],[Date]]-$I$2)</f>
        <v>27854.085239983506</v>
      </c>
      <c r="J194" s="3">
        <f>SUM(day_cash_behind[[#Headers],[Labor Cost]]:day_cash_behind[[#This Row],[Labor Cost]])</f>
        <v>594999.99999999988</v>
      </c>
      <c r="K194" s="3">
        <f>SUM(day_cash_behind[[#Headers],[Material Cost]]:day_cash_behind[[#This Row],[Material Cost]])</f>
        <v>258503.52112676008</v>
      </c>
      <c r="L194" s="3">
        <f>SUM(day_cash_behind[[#Headers],[Equipment Cost]]:day_cash_behind[[#This Row],[Equipment Cost]])</f>
        <v>87056.603773584706</v>
      </c>
      <c r="M194" s="3">
        <f>SUM(day_cash_behind[[#Headers],[Sub Cost]]:day_cash_behind[[#This Row],[Sub Cost]])</f>
        <v>526528.1690140838</v>
      </c>
      <c r="N194" s="3">
        <f>SUM(day_cash_behind[[#Headers],[Other Cost]]:day_cash_behind[[#This Row],[Other Cost]])</f>
        <v>57871.069182389787</v>
      </c>
      <c r="O194" s="3">
        <f>SUM(day_cash_behind[[#This Row],[Cumulative Labor]:[Cumulative Other]])</f>
        <v>1524959.3630968183</v>
      </c>
      <c r="P194" s="3">
        <f>SUM(day_cash_behind[[#Headers],[Revenue]]:day_cash_behind[[#This Row],[Revenue]])</f>
        <v>1140988.4684869952</v>
      </c>
    </row>
    <row r="195" spans="2:16" x14ac:dyDescent="0.45">
      <c r="B195" s="1">
        <v>46578</v>
      </c>
      <c r="C195" s="4">
        <f>SUMIFS(schedule[Labor CPP], schedule[Start Date],"&lt;="&amp;day_cash_behind[[#This Row],[Date]], schedule[Finish Date],"&gt;="&amp;day_cash_behind[[#This Row],[Date]])</f>
        <v>0</v>
      </c>
      <c r="D195" s="4">
        <f>SUMIFS(schedule[Material CPP], schedule[Start Date],"&lt;="&amp;day_cash_behind[[#This Row],[Date]]-$D$2, schedule[Finish Date],"&gt;="&amp;day_cash_behind[[#This Row],[Date]]-$D$2)</f>
        <v>1373.2394366197184</v>
      </c>
      <c r="E195" s="4">
        <f>SUMIFS(schedule[Equipment CPP], schedule[Start Date],"&lt;="&amp;day_cash_behind[[#This Row],[Date]]-$E$2, schedule[Finish Date],"&gt;="&amp;day_cash_behind[[#This Row],[Date]]-$E$2)</f>
        <v>471.69811320754718</v>
      </c>
      <c r="F195" s="4">
        <f>SUMIFS(schedule[Sub CPP], schedule[Start Date],"&lt;="&amp;day_cash_behind[[#This Row],[Date]]-$F$2, schedule[Finish Date],"&gt;="&amp;day_cash_behind[[#This Row],[Date]]-$F$2)</f>
        <v>1936.6197183098591</v>
      </c>
      <c r="G195" s="3">
        <f>SUMIFS(schedule[Other CPP], schedule[Start Date],"&lt;="&amp;day_cash_behind[[#This Row],[Date]]-$G$2, schedule[Finish Date],"&gt;="&amp;day_cash_behind[[#This Row],[Date]]-$G$2)</f>
        <v>314.46540880503147</v>
      </c>
      <c r="H195" s="3">
        <f>SUM(day_cash_behind[[#This Row],[Labor Cost]:[Other Cost]])</f>
        <v>4096.0226769421561</v>
      </c>
      <c r="I195" s="3">
        <f>SUMIFS(schedule[Revenue per Day], schedule[Start Date],"&lt;="&amp;day_cash_behind[[#This Row],[Date]]-$I$2, schedule[Finish Date],"&gt;="&amp;day_cash_behind[[#This Row],[Date]]-$I$2)</f>
        <v>27854.085239983506</v>
      </c>
      <c r="J195" s="3">
        <f>SUM(day_cash_behind[[#Headers],[Labor Cost]]:day_cash_behind[[#This Row],[Labor Cost]])</f>
        <v>594999.99999999988</v>
      </c>
      <c r="K195" s="3">
        <f>SUM(day_cash_behind[[#Headers],[Material Cost]]:day_cash_behind[[#This Row],[Material Cost]])</f>
        <v>259876.76056337979</v>
      </c>
      <c r="L195" s="3">
        <f>SUM(day_cash_behind[[#Headers],[Equipment Cost]]:day_cash_behind[[#This Row],[Equipment Cost]])</f>
        <v>87528.301886792251</v>
      </c>
      <c r="M195" s="3">
        <f>SUM(day_cash_behind[[#Headers],[Sub Cost]]:day_cash_behind[[#This Row],[Sub Cost]])</f>
        <v>528464.78873239364</v>
      </c>
      <c r="N195" s="3">
        <f>SUM(day_cash_behind[[#Headers],[Other Cost]]:day_cash_behind[[#This Row],[Other Cost]])</f>
        <v>58185.534591194817</v>
      </c>
      <c r="O195" s="3">
        <f>SUM(day_cash_behind[[#This Row],[Cumulative Labor]:[Cumulative Other]])</f>
        <v>1529055.3857737603</v>
      </c>
      <c r="P195" s="3">
        <f>SUM(day_cash_behind[[#Headers],[Revenue]]:day_cash_behind[[#This Row],[Revenue]])</f>
        <v>1168842.5537269786</v>
      </c>
    </row>
    <row r="196" spans="2:16" x14ac:dyDescent="0.45">
      <c r="B196" s="1">
        <v>46579</v>
      </c>
      <c r="C196" s="4">
        <f>SUMIFS(schedule[Labor CPP], schedule[Start Date],"&lt;="&amp;day_cash_behind[[#This Row],[Date]], schedule[Finish Date],"&gt;="&amp;day_cash_behind[[#This Row],[Date]])</f>
        <v>0</v>
      </c>
      <c r="D196" s="4">
        <f>SUMIFS(schedule[Material CPP], schedule[Start Date],"&lt;="&amp;day_cash_behind[[#This Row],[Date]]-$D$2, schedule[Finish Date],"&gt;="&amp;day_cash_behind[[#This Row],[Date]]-$D$2)</f>
        <v>1373.2394366197184</v>
      </c>
      <c r="E196" s="4">
        <f>SUMIFS(schedule[Equipment CPP], schedule[Start Date],"&lt;="&amp;day_cash_behind[[#This Row],[Date]]-$E$2, schedule[Finish Date],"&gt;="&amp;day_cash_behind[[#This Row],[Date]]-$E$2)</f>
        <v>471.69811320754718</v>
      </c>
      <c r="F196" s="4">
        <f>SUMIFS(schedule[Sub CPP], schedule[Start Date],"&lt;="&amp;day_cash_behind[[#This Row],[Date]]-$F$2, schedule[Finish Date],"&gt;="&amp;day_cash_behind[[#This Row],[Date]]-$F$2)</f>
        <v>1936.6197183098591</v>
      </c>
      <c r="G196" s="3">
        <f>SUMIFS(schedule[Other CPP], schedule[Start Date],"&lt;="&amp;day_cash_behind[[#This Row],[Date]]-$G$2, schedule[Finish Date],"&gt;="&amp;day_cash_behind[[#This Row],[Date]]-$G$2)</f>
        <v>314.46540880503147</v>
      </c>
      <c r="H196" s="3">
        <f>SUM(day_cash_behind[[#This Row],[Labor Cost]:[Other Cost]])</f>
        <v>4096.0226769421561</v>
      </c>
      <c r="I196" s="3">
        <f>SUMIFS(schedule[Revenue per Day], schedule[Start Date],"&lt;="&amp;day_cash_behind[[#This Row],[Date]]-$I$2, schedule[Finish Date],"&gt;="&amp;day_cash_behind[[#This Row],[Date]]-$I$2)</f>
        <v>27854.085239983506</v>
      </c>
      <c r="J196" s="3">
        <f>SUM(day_cash_behind[[#Headers],[Labor Cost]]:day_cash_behind[[#This Row],[Labor Cost]])</f>
        <v>594999.99999999988</v>
      </c>
      <c r="K196" s="3">
        <f>SUM(day_cash_behind[[#Headers],[Material Cost]]:day_cash_behind[[#This Row],[Material Cost]])</f>
        <v>261249.99999999951</v>
      </c>
      <c r="L196" s="3">
        <f>SUM(day_cash_behind[[#Headers],[Equipment Cost]]:day_cash_behind[[#This Row],[Equipment Cost]])</f>
        <v>87999.999999999796</v>
      </c>
      <c r="M196" s="3">
        <f>SUM(day_cash_behind[[#Headers],[Sub Cost]]:day_cash_behind[[#This Row],[Sub Cost]])</f>
        <v>530401.40845070349</v>
      </c>
      <c r="N196" s="3">
        <f>SUM(day_cash_behind[[#Headers],[Other Cost]]:day_cash_behind[[#This Row],[Other Cost]])</f>
        <v>58499.999999999847</v>
      </c>
      <c r="O196" s="3">
        <f>SUM(day_cash_behind[[#This Row],[Cumulative Labor]:[Cumulative Other]])</f>
        <v>1533151.4084507024</v>
      </c>
      <c r="P196" s="3">
        <f>SUM(day_cash_behind[[#Headers],[Revenue]]:day_cash_behind[[#This Row],[Revenue]])</f>
        <v>1196696.638966962</v>
      </c>
    </row>
    <row r="197" spans="2:16" x14ac:dyDescent="0.45">
      <c r="B197" s="1">
        <v>46580</v>
      </c>
      <c r="C197" s="4">
        <f>SUMIFS(schedule[Labor CPP], schedule[Start Date],"&lt;="&amp;day_cash_behind[[#This Row],[Date]], schedule[Finish Date],"&gt;="&amp;day_cash_behind[[#This Row],[Date]])</f>
        <v>0</v>
      </c>
      <c r="D197" s="4">
        <f>SUMIFS(schedule[Material CPP], schedule[Start Date],"&lt;="&amp;day_cash_behind[[#This Row],[Date]]-$D$2, schedule[Finish Date],"&gt;="&amp;day_cash_behind[[#This Row],[Date]]-$D$2)</f>
        <v>0</v>
      </c>
      <c r="E197" s="4">
        <f>SUMIFS(schedule[Equipment CPP], schedule[Start Date],"&lt;="&amp;day_cash_behind[[#This Row],[Date]]-$E$2, schedule[Finish Date],"&gt;="&amp;day_cash_behind[[#This Row],[Date]]-$E$2)</f>
        <v>0</v>
      </c>
      <c r="F197" s="4">
        <f>SUMIFS(schedule[Sub CPP], schedule[Start Date],"&lt;="&amp;day_cash_behind[[#This Row],[Date]]-$F$2, schedule[Finish Date],"&gt;="&amp;day_cash_behind[[#This Row],[Date]]-$F$2)</f>
        <v>1936.6197183098591</v>
      </c>
      <c r="G197" s="3">
        <f>SUMIFS(schedule[Other CPP], schedule[Start Date],"&lt;="&amp;day_cash_behind[[#This Row],[Date]]-$G$2, schedule[Finish Date],"&gt;="&amp;day_cash_behind[[#This Row],[Date]]-$G$2)</f>
        <v>0</v>
      </c>
      <c r="H197" s="3">
        <f>SUM(day_cash_behind[[#This Row],[Labor Cost]:[Other Cost]])</f>
        <v>1936.6197183098591</v>
      </c>
      <c r="I197" s="3">
        <f>SUMIFS(schedule[Revenue per Day], schedule[Start Date],"&lt;="&amp;day_cash_behind[[#This Row],[Date]]-$I$2, schedule[Finish Date],"&gt;="&amp;day_cash_behind[[#This Row],[Date]]-$I$2)</f>
        <v>27854.085239983506</v>
      </c>
      <c r="J197" s="3">
        <f>SUM(day_cash_behind[[#Headers],[Labor Cost]]:day_cash_behind[[#This Row],[Labor Cost]])</f>
        <v>594999.99999999988</v>
      </c>
      <c r="K197" s="3">
        <f>SUM(day_cash_behind[[#Headers],[Material Cost]]:day_cash_behind[[#This Row],[Material Cost]])</f>
        <v>261249.99999999951</v>
      </c>
      <c r="L197" s="3">
        <f>SUM(day_cash_behind[[#Headers],[Equipment Cost]]:day_cash_behind[[#This Row],[Equipment Cost]])</f>
        <v>87999.999999999796</v>
      </c>
      <c r="M197" s="3">
        <f>SUM(day_cash_behind[[#Headers],[Sub Cost]]:day_cash_behind[[#This Row],[Sub Cost]])</f>
        <v>532338.02816901333</v>
      </c>
      <c r="N197" s="3">
        <f>SUM(day_cash_behind[[#Headers],[Other Cost]]:day_cash_behind[[#This Row],[Other Cost]])</f>
        <v>58499.999999999847</v>
      </c>
      <c r="O197" s="3">
        <f>SUM(day_cash_behind[[#This Row],[Cumulative Labor]:[Cumulative Other]])</f>
        <v>1535088.0281690124</v>
      </c>
      <c r="P197" s="3">
        <f>SUM(day_cash_behind[[#Headers],[Revenue]]:day_cash_behind[[#This Row],[Revenue]])</f>
        <v>1224550.7242069454</v>
      </c>
    </row>
    <row r="198" spans="2:16" x14ac:dyDescent="0.45">
      <c r="B198" s="1">
        <v>46581</v>
      </c>
      <c r="C198" s="4">
        <f>SUMIFS(schedule[Labor CPP], schedule[Start Date],"&lt;="&amp;day_cash_behind[[#This Row],[Date]], schedule[Finish Date],"&gt;="&amp;day_cash_behind[[#This Row],[Date]])</f>
        <v>0</v>
      </c>
      <c r="D198" s="4">
        <f>SUMIFS(schedule[Material CPP], schedule[Start Date],"&lt;="&amp;day_cash_behind[[#This Row],[Date]]-$D$2, schedule[Finish Date],"&gt;="&amp;day_cash_behind[[#This Row],[Date]]-$D$2)</f>
        <v>0</v>
      </c>
      <c r="E198" s="4">
        <f>SUMIFS(schedule[Equipment CPP], schedule[Start Date],"&lt;="&amp;day_cash_behind[[#This Row],[Date]]-$E$2, schedule[Finish Date],"&gt;="&amp;day_cash_behind[[#This Row],[Date]]-$E$2)</f>
        <v>0</v>
      </c>
      <c r="F198" s="4">
        <f>SUMIFS(schedule[Sub CPP], schedule[Start Date],"&lt;="&amp;day_cash_behind[[#This Row],[Date]]-$F$2, schedule[Finish Date],"&gt;="&amp;day_cash_behind[[#This Row],[Date]]-$F$2)</f>
        <v>1936.6197183098591</v>
      </c>
      <c r="G198" s="3">
        <f>SUMIFS(schedule[Other CPP], schedule[Start Date],"&lt;="&amp;day_cash_behind[[#This Row],[Date]]-$G$2, schedule[Finish Date],"&gt;="&amp;day_cash_behind[[#This Row],[Date]]-$G$2)</f>
        <v>0</v>
      </c>
      <c r="H198" s="3">
        <f>SUM(day_cash_behind[[#This Row],[Labor Cost]:[Other Cost]])</f>
        <v>1936.6197183098591</v>
      </c>
      <c r="I198" s="3">
        <f>SUMIFS(schedule[Revenue per Day], schedule[Start Date],"&lt;="&amp;day_cash_behind[[#This Row],[Date]]-$I$2, schedule[Finish Date],"&gt;="&amp;day_cash_behind[[#This Row],[Date]]-$I$2)</f>
        <v>27854.085239983506</v>
      </c>
      <c r="J198" s="3">
        <f>SUM(day_cash_behind[[#Headers],[Labor Cost]]:day_cash_behind[[#This Row],[Labor Cost]])</f>
        <v>594999.99999999988</v>
      </c>
      <c r="K198" s="3">
        <f>SUM(day_cash_behind[[#Headers],[Material Cost]]:day_cash_behind[[#This Row],[Material Cost]])</f>
        <v>261249.99999999951</v>
      </c>
      <c r="L198" s="3">
        <f>SUM(day_cash_behind[[#Headers],[Equipment Cost]]:day_cash_behind[[#This Row],[Equipment Cost]])</f>
        <v>87999.999999999796</v>
      </c>
      <c r="M198" s="3">
        <f>SUM(day_cash_behind[[#Headers],[Sub Cost]]:day_cash_behind[[#This Row],[Sub Cost]])</f>
        <v>534274.64788732317</v>
      </c>
      <c r="N198" s="3">
        <f>SUM(day_cash_behind[[#Headers],[Other Cost]]:day_cash_behind[[#This Row],[Other Cost]])</f>
        <v>58499.999999999847</v>
      </c>
      <c r="O198" s="3">
        <f>SUM(day_cash_behind[[#This Row],[Cumulative Labor]:[Cumulative Other]])</f>
        <v>1537024.6478873221</v>
      </c>
      <c r="P198" s="3">
        <f>SUM(day_cash_behind[[#Headers],[Revenue]]:day_cash_behind[[#This Row],[Revenue]])</f>
        <v>1252404.8094469288</v>
      </c>
    </row>
    <row r="199" spans="2:16" x14ac:dyDescent="0.45">
      <c r="B199" s="1">
        <v>46582</v>
      </c>
      <c r="C199" s="4">
        <f>SUMIFS(schedule[Labor CPP], schedule[Start Date],"&lt;="&amp;day_cash_behind[[#This Row],[Date]], schedule[Finish Date],"&gt;="&amp;day_cash_behind[[#This Row],[Date]])</f>
        <v>0</v>
      </c>
      <c r="D199" s="4">
        <f>SUMIFS(schedule[Material CPP], schedule[Start Date],"&lt;="&amp;day_cash_behind[[#This Row],[Date]]-$D$2, schedule[Finish Date],"&gt;="&amp;day_cash_behind[[#This Row],[Date]]-$D$2)</f>
        <v>0</v>
      </c>
      <c r="E199" s="4">
        <f>SUMIFS(schedule[Equipment CPP], schedule[Start Date],"&lt;="&amp;day_cash_behind[[#This Row],[Date]]-$E$2, schedule[Finish Date],"&gt;="&amp;day_cash_behind[[#This Row],[Date]]-$E$2)</f>
        <v>0</v>
      </c>
      <c r="F199" s="4">
        <f>SUMIFS(schedule[Sub CPP], schedule[Start Date],"&lt;="&amp;day_cash_behind[[#This Row],[Date]]-$F$2, schedule[Finish Date],"&gt;="&amp;day_cash_behind[[#This Row],[Date]]-$F$2)</f>
        <v>1936.6197183098591</v>
      </c>
      <c r="G199" s="3">
        <f>SUMIFS(schedule[Other CPP], schedule[Start Date],"&lt;="&amp;day_cash_behind[[#This Row],[Date]]-$G$2, schedule[Finish Date],"&gt;="&amp;day_cash_behind[[#This Row],[Date]]-$G$2)</f>
        <v>0</v>
      </c>
      <c r="H199" s="3">
        <f>SUM(day_cash_behind[[#This Row],[Labor Cost]:[Other Cost]])</f>
        <v>1936.6197183098591</v>
      </c>
      <c r="I199" s="3">
        <f>SUMIFS(schedule[Revenue per Day], schedule[Start Date],"&lt;="&amp;day_cash_behind[[#This Row],[Date]]-$I$2, schedule[Finish Date],"&gt;="&amp;day_cash_behind[[#This Row],[Date]]-$I$2)</f>
        <v>27854.085239983506</v>
      </c>
      <c r="J199" s="3">
        <f>SUM(day_cash_behind[[#Headers],[Labor Cost]]:day_cash_behind[[#This Row],[Labor Cost]])</f>
        <v>594999.99999999988</v>
      </c>
      <c r="K199" s="3">
        <f>SUM(day_cash_behind[[#Headers],[Material Cost]]:day_cash_behind[[#This Row],[Material Cost]])</f>
        <v>261249.99999999951</v>
      </c>
      <c r="L199" s="3">
        <f>SUM(day_cash_behind[[#Headers],[Equipment Cost]]:day_cash_behind[[#This Row],[Equipment Cost]])</f>
        <v>87999.999999999796</v>
      </c>
      <c r="M199" s="3">
        <f>SUM(day_cash_behind[[#Headers],[Sub Cost]]:day_cash_behind[[#This Row],[Sub Cost]])</f>
        <v>536211.26760563301</v>
      </c>
      <c r="N199" s="3">
        <f>SUM(day_cash_behind[[#Headers],[Other Cost]]:day_cash_behind[[#This Row],[Other Cost]])</f>
        <v>58499.999999999847</v>
      </c>
      <c r="O199" s="3">
        <f>SUM(day_cash_behind[[#This Row],[Cumulative Labor]:[Cumulative Other]])</f>
        <v>1538961.2676056318</v>
      </c>
      <c r="P199" s="3">
        <f>SUM(day_cash_behind[[#Headers],[Revenue]]:day_cash_behind[[#This Row],[Revenue]])</f>
        <v>1280258.8946869122</v>
      </c>
    </row>
    <row r="200" spans="2:16" x14ac:dyDescent="0.45">
      <c r="B200" s="1">
        <v>46583</v>
      </c>
      <c r="C200" s="4">
        <f>SUMIFS(schedule[Labor CPP], schedule[Start Date],"&lt;="&amp;day_cash_behind[[#This Row],[Date]], schedule[Finish Date],"&gt;="&amp;day_cash_behind[[#This Row],[Date]])</f>
        <v>0</v>
      </c>
      <c r="D200" s="4">
        <f>SUMIFS(schedule[Material CPP], schedule[Start Date],"&lt;="&amp;day_cash_behind[[#This Row],[Date]]-$D$2, schedule[Finish Date],"&gt;="&amp;day_cash_behind[[#This Row],[Date]]-$D$2)</f>
        <v>0</v>
      </c>
      <c r="E200" s="4">
        <f>SUMIFS(schedule[Equipment CPP], schedule[Start Date],"&lt;="&amp;day_cash_behind[[#This Row],[Date]]-$E$2, schedule[Finish Date],"&gt;="&amp;day_cash_behind[[#This Row],[Date]]-$E$2)</f>
        <v>0</v>
      </c>
      <c r="F200" s="4">
        <f>SUMIFS(schedule[Sub CPP], schedule[Start Date],"&lt;="&amp;day_cash_behind[[#This Row],[Date]]-$F$2, schedule[Finish Date],"&gt;="&amp;day_cash_behind[[#This Row],[Date]]-$F$2)</f>
        <v>1936.6197183098591</v>
      </c>
      <c r="G200" s="3">
        <f>SUMIFS(schedule[Other CPP], schedule[Start Date],"&lt;="&amp;day_cash_behind[[#This Row],[Date]]-$G$2, schedule[Finish Date],"&gt;="&amp;day_cash_behind[[#This Row],[Date]]-$G$2)</f>
        <v>0</v>
      </c>
      <c r="H200" s="3">
        <f>SUM(day_cash_behind[[#This Row],[Labor Cost]:[Other Cost]])</f>
        <v>1936.6197183098591</v>
      </c>
      <c r="I200" s="3">
        <f>SUMIFS(schedule[Revenue per Day], schedule[Start Date],"&lt;="&amp;day_cash_behind[[#This Row],[Date]]-$I$2, schedule[Finish Date],"&gt;="&amp;day_cash_behind[[#This Row],[Date]]-$I$2)</f>
        <v>27854.085239983506</v>
      </c>
      <c r="J200" s="3">
        <f>SUM(day_cash_behind[[#Headers],[Labor Cost]]:day_cash_behind[[#This Row],[Labor Cost]])</f>
        <v>594999.99999999988</v>
      </c>
      <c r="K200" s="3">
        <f>SUM(day_cash_behind[[#Headers],[Material Cost]]:day_cash_behind[[#This Row],[Material Cost]])</f>
        <v>261249.99999999951</v>
      </c>
      <c r="L200" s="3">
        <f>SUM(day_cash_behind[[#Headers],[Equipment Cost]]:day_cash_behind[[#This Row],[Equipment Cost]])</f>
        <v>87999.999999999796</v>
      </c>
      <c r="M200" s="3">
        <f>SUM(day_cash_behind[[#Headers],[Sub Cost]]:day_cash_behind[[#This Row],[Sub Cost]])</f>
        <v>538147.88732394285</v>
      </c>
      <c r="N200" s="3">
        <f>SUM(day_cash_behind[[#Headers],[Other Cost]]:day_cash_behind[[#This Row],[Other Cost]])</f>
        <v>58499.999999999847</v>
      </c>
      <c r="O200" s="3">
        <f>SUM(day_cash_behind[[#This Row],[Cumulative Labor]:[Cumulative Other]])</f>
        <v>1540897.8873239418</v>
      </c>
      <c r="P200" s="3">
        <f>SUM(day_cash_behind[[#Headers],[Revenue]]:day_cash_behind[[#This Row],[Revenue]])</f>
        <v>1308112.9799268956</v>
      </c>
    </row>
    <row r="201" spans="2:16" x14ac:dyDescent="0.45">
      <c r="B201" s="1">
        <v>46584</v>
      </c>
      <c r="C201" s="4">
        <f>SUMIFS(schedule[Labor CPP], schedule[Start Date],"&lt;="&amp;day_cash_behind[[#This Row],[Date]], schedule[Finish Date],"&gt;="&amp;day_cash_behind[[#This Row],[Date]])</f>
        <v>0</v>
      </c>
      <c r="D201" s="4">
        <f>SUMIFS(schedule[Material CPP], schedule[Start Date],"&lt;="&amp;day_cash_behind[[#This Row],[Date]]-$D$2, schedule[Finish Date],"&gt;="&amp;day_cash_behind[[#This Row],[Date]]-$D$2)</f>
        <v>0</v>
      </c>
      <c r="E201" s="4">
        <f>SUMIFS(schedule[Equipment CPP], schedule[Start Date],"&lt;="&amp;day_cash_behind[[#This Row],[Date]]-$E$2, schedule[Finish Date],"&gt;="&amp;day_cash_behind[[#This Row],[Date]]-$E$2)</f>
        <v>0</v>
      </c>
      <c r="F201" s="4">
        <f>SUMIFS(schedule[Sub CPP], schedule[Start Date],"&lt;="&amp;day_cash_behind[[#This Row],[Date]]-$F$2, schedule[Finish Date],"&gt;="&amp;day_cash_behind[[#This Row],[Date]]-$F$2)</f>
        <v>1936.6197183098591</v>
      </c>
      <c r="G201" s="3">
        <f>SUMIFS(schedule[Other CPP], schedule[Start Date],"&lt;="&amp;day_cash_behind[[#This Row],[Date]]-$G$2, schedule[Finish Date],"&gt;="&amp;day_cash_behind[[#This Row],[Date]]-$G$2)</f>
        <v>0</v>
      </c>
      <c r="H201" s="3">
        <f>SUM(day_cash_behind[[#This Row],[Labor Cost]:[Other Cost]])</f>
        <v>1936.6197183098591</v>
      </c>
      <c r="I201" s="3">
        <f>SUMIFS(schedule[Revenue per Day], schedule[Start Date],"&lt;="&amp;day_cash_behind[[#This Row],[Date]]-$I$2, schedule[Finish Date],"&gt;="&amp;day_cash_behind[[#This Row],[Date]]-$I$2)</f>
        <v>20877.341053936994</v>
      </c>
      <c r="J201" s="3">
        <f>SUM(day_cash_behind[[#Headers],[Labor Cost]]:day_cash_behind[[#This Row],[Labor Cost]])</f>
        <v>594999.99999999988</v>
      </c>
      <c r="K201" s="3">
        <f>SUM(day_cash_behind[[#Headers],[Material Cost]]:day_cash_behind[[#This Row],[Material Cost]])</f>
        <v>261249.99999999951</v>
      </c>
      <c r="L201" s="3">
        <f>SUM(day_cash_behind[[#Headers],[Equipment Cost]]:day_cash_behind[[#This Row],[Equipment Cost]])</f>
        <v>87999.999999999796</v>
      </c>
      <c r="M201" s="3">
        <f>SUM(day_cash_behind[[#Headers],[Sub Cost]]:day_cash_behind[[#This Row],[Sub Cost]])</f>
        <v>540084.50704225269</v>
      </c>
      <c r="N201" s="3">
        <f>SUM(day_cash_behind[[#Headers],[Other Cost]]:day_cash_behind[[#This Row],[Other Cost]])</f>
        <v>58499.999999999847</v>
      </c>
      <c r="O201" s="3">
        <f>SUM(day_cash_behind[[#This Row],[Cumulative Labor]:[Cumulative Other]])</f>
        <v>1542834.5070422518</v>
      </c>
      <c r="P201" s="3">
        <f>SUM(day_cash_behind[[#Headers],[Revenue]]:day_cash_behind[[#This Row],[Revenue]])</f>
        <v>1328990.3209808327</v>
      </c>
    </row>
    <row r="202" spans="2:16" x14ac:dyDescent="0.45">
      <c r="B202" s="1">
        <v>46585</v>
      </c>
      <c r="C202" s="4">
        <f>SUMIFS(schedule[Labor CPP], schedule[Start Date],"&lt;="&amp;day_cash_behind[[#This Row],[Date]], schedule[Finish Date],"&gt;="&amp;day_cash_behind[[#This Row],[Date]])</f>
        <v>0</v>
      </c>
      <c r="D202" s="4">
        <f>SUMIFS(schedule[Material CPP], schedule[Start Date],"&lt;="&amp;day_cash_behind[[#This Row],[Date]]-$D$2, schedule[Finish Date],"&gt;="&amp;day_cash_behind[[#This Row],[Date]]-$D$2)</f>
        <v>0</v>
      </c>
      <c r="E202" s="4">
        <f>SUMIFS(schedule[Equipment CPP], schedule[Start Date],"&lt;="&amp;day_cash_behind[[#This Row],[Date]]-$E$2, schedule[Finish Date],"&gt;="&amp;day_cash_behind[[#This Row],[Date]]-$E$2)</f>
        <v>0</v>
      </c>
      <c r="F202" s="4">
        <f>SUMIFS(schedule[Sub CPP], schedule[Start Date],"&lt;="&amp;day_cash_behind[[#This Row],[Date]]-$F$2, schedule[Finish Date],"&gt;="&amp;day_cash_behind[[#This Row],[Date]]-$F$2)</f>
        <v>1936.6197183098591</v>
      </c>
      <c r="G202" s="3">
        <f>SUMIFS(schedule[Other CPP], schedule[Start Date],"&lt;="&amp;day_cash_behind[[#This Row],[Date]]-$G$2, schedule[Finish Date],"&gt;="&amp;day_cash_behind[[#This Row],[Date]]-$G$2)</f>
        <v>0</v>
      </c>
      <c r="H202" s="3">
        <f>SUM(day_cash_behind[[#This Row],[Labor Cost]:[Other Cost]])</f>
        <v>1936.6197183098591</v>
      </c>
      <c r="I202" s="3">
        <f>SUMIFS(schedule[Revenue per Day], schedule[Start Date],"&lt;="&amp;day_cash_behind[[#This Row],[Date]]-$I$2, schedule[Finish Date],"&gt;="&amp;day_cash_behind[[#This Row],[Date]]-$I$2)</f>
        <v>20877.341053936994</v>
      </c>
      <c r="J202" s="3">
        <f>SUM(day_cash_behind[[#Headers],[Labor Cost]]:day_cash_behind[[#This Row],[Labor Cost]])</f>
        <v>594999.99999999988</v>
      </c>
      <c r="K202" s="3">
        <f>SUM(day_cash_behind[[#Headers],[Material Cost]]:day_cash_behind[[#This Row],[Material Cost]])</f>
        <v>261249.99999999951</v>
      </c>
      <c r="L202" s="3">
        <f>SUM(day_cash_behind[[#Headers],[Equipment Cost]]:day_cash_behind[[#This Row],[Equipment Cost]])</f>
        <v>87999.999999999796</v>
      </c>
      <c r="M202" s="3">
        <f>SUM(day_cash_behind[[#Headers],[Sub Cost]]:day_cash_behind[[#This Row],[Sub Cost]])</f>
        <v>542021.12676056253</v>
      </c>
      <c r="N202" s="3">
        <f>SUM(day_cash_behind[[#Headers],[Other Cost]]:day_cash_behind[[#This Row],[Other Cost]])</f>
        <v>58499.999999999847</v>
      </c>
      <c r="O202" s="3">
        <f>SUM(day_cash_behind[[#This Row],[Cumulative Labor]:[Cumulative Other]])</f>
        <v>1544771.1267605615</v>
      </c>
      <c r="P202" s="3">
        <f>SUM(day_cash_behind[[#Headers],[Revenue]]:day_cash_behind[[#This Row],[Revenue]])</f>
        <v>1349867.6620347698</v>
      </c>
    </row>
    <row r="203" spans="2:16" x14ac:dyDescent="0.45">
      <c r="B203" s="1">
        <v>46586</v>
      </c>
      <c r="C203" s="4">
        <f>SUMIFS(schedule[Labor CPP], schedule[Start Date],"&lt;="&amp;day_cash_behind[[#This Row],[Date]], schedule[Finish Date],"&gt;="&amp;day_cash_behind[[#This Row],[Date]])</f>
        <v>0</v>
      </c>
      <c r="D203" s="4">
        <f>SUMIFS(schedule[Material CPP], schedule[Start Date],"&lt;="&amp;day_cash_behind[[#This Row],[Date]]-$D$2, schedule[Finish Date],"&gt;="&amp;day_cash_behind[[#This Row],[Date]]-$D$2)</f>
        <v>0</v>
      </c>
      <c r="E203" s="4">
        <f>SUMIFS(schedule[Equipment CPP], schedule[Start Date],"&lt;="&amp;day_cash_behind[[#This Row],[Date]]-$E$2, schedule[Finish Date],"&gt;="&amp;day_cash_behind[[#This Row],[Date]]-$E$2)</f>
        <v>0</v>
      </c>
      <c r="F203" s="4">
        <f>SUMIFS(schedule[Sub CPP], schedule[Start Date],"&lt;="&amp;day_cash_behind[[#This Row],[Date]]-$F$2, schedule[Finish Date],"&gt;="&amp;day_cash_behind[[#This Row],[Date]]-$F$2)</f>
        <v>1936.6197183098591</v>
      </c>
      <c r="G203" s="3">
        <f>SUMIFS(schedule[Other CPP], schedule[Start Date],"&lt;="&amp;day_cash_behind[[#This Row],[Date]]-$G$2, schedule[Finish Date],"&gt;="&amp;day_cash_behind[[#This Row],[Date]]-$G$2)</f>
        <v>0</v>
      </c>
      <c r="H203" s="3">
        <f>SUM(day_cash_behind[[#This Row],[Labor Cost]:[Other Cost]])</f>
        <v>1936.6197183098591</v>
      </c>
      <c r="I203" s="3">
        <f>SUMIFS(schedule[Revenue per Day], schedule[Start Date],"&lt;="&amp;day_cash_behind[[#This Row],[Date]]-$I$2, schedule[Finish Date],"&gt;="&amp;day_cash_behind[[#This Row],[Date]]-$I$2)</f>
        <v>20877.341053936994</v>
      </c>
      <c r="J203" s="3">
        <f>SUM(day_cash_behind[[#Headers],[Labor Cost]]:day_cash_behind[[#This Row],[Labor Cost]])</f>
        <v>594999.99999999988</v>
      </c>
      <c r="K203" s="3">
        <f>SUM(day_cash_behind[[#Headers],[Material Cost]]:day_cash_behind[[#This Row],[Material Cost]])</f>
        <v>261249.99999999951</v>
      </c>
      <c r="L203" s="3">
        <f>SUM(day_cash_behind[[#Headers],[Equipment Cost]]:day_cash_behind[[#This Row],[Equipment Cost]])</f>
        <v>87999.999999999796</v>
      </c>
      <c r="M203" s="3">
        <f>SUM(day_cash_behind[[#Headers],[Sub Cost]]:day_cash_behind[[#This Row],[Sub Cost]])</f>
        <v>543957.74647887237</v>
      </c>
      <c r="N203" s="3">
        <f>SUM(day_cash_behind[[#Headers],[Other Cost]]:day_cash_behind[[#This Row],[Other Cost]])</f>
        <v>58499.999999999847</v>
      </c>
      <c r="O203" s="3">
        <f>SUM(day_cash_behind[[#This Row],[Cumulative Labor]:[Cumulative Other]])</f>
        <v>1546707.7464788712</v>
      </c>
      <c r="P203" s="3">
        <f>SUM(day_cash_behind[[#Headers],[Revenue]]:day_cash_behind[[#This Row],[Revenue]])</f>
        <v>1370745.0030887069</v>
      </c>
    </row>
    <row r="204" spans="2:16" x14ac:dyDescent="0.45">
      <c r="B204" s="1">
        <v>46587</v>
      </c>
      <c r="C204" s="4">
        <f>SUMIFS(schedule[Labor CPP], schedule[Start Date],"&lt;="&amp;day_cash_behind[[#This Row],[Date]], schedule[Finish Date],"&gt;="&amp;day_cash_behind[[#This Row],[Date]])</f>
        <v>0</v>
      </c>
      <c r="D204" s="4">
        <f>SUMIFS(schedule[Material CPP], schedule[Start Date],"&lt;="&amp;day_cash_behind[[#This Row],[Date]]-$D$2, schedule[Finish Date],"&gt;="&amp;day_cash_behind[[#This Row],[Date]]-$D$2)</f>
        <v>0</v>
      </c>
      <c r="E204" s="4">
        <f>SUMIFS(schedule[Equipment CPP], schedule[Start Date],"&lt;="&amp;day_cash_behind[[#This Row],[Date]]-$E$2, schedule[Finish Date],"&gt;="&amp;day_cash_behind[[#This Row],[Date]]-$E$2)</f>
        <v>0</v>
      </c>
      <c r="F204" s="4">
        <f>SUMIFS(schedule[Sub CPP], schedule[Start Date],"&lt;="&amp;day_cash_behind[[#This Row],[Date]]-$F$2, schedule[Finish Date],"&gt;="&amp;day_cash_behind[[#This Row],[Date]]-$F$2)</f>
        <v>1936.6197183098591</v>
      </c>
      <c r="G204" s="3">
        <f>SUMIFS(schedule[Other CPP], schedule[Start Date],"&lt;="&amp;day_cash_behind[[#This Row],[Date]]-$G$2, schedule[Finish Date],"&gt;="&amp;day_cash_behind[[#This Row],[Date]]-$G$2)</f>
        <v>0</v>
      </c>
      <c r="H204" s="3">
        <f>SUM(day_cash_behind[[#This Row],[Labor Cost]:[Other Cost]])</f>
        <v>1936.6197183098591</v>
      </c>
      <c r="I204" s="3">
        <f>SUMIFS(schedule[Revenue per Day], schedule[Start Date],"&lt;="&amp;day_cash_behind[[#This Row],[Date]]-$I$2, schedule[Finish Date],"&gt;="&amp;day_cash_behind[[#This Row],[Date]]-$I$2)</f>
        <v>20877.341053936994</v>
      </c>
      <c r="J204" s="3">
        <f>SUM(day_cash_behind[[#Headers],[Labor Cost]]:day_cash_behind[[#This Row],[Labor Cost]])</f>
        <v>594999.99999999988</v>
      </c>
      <c r="K204" s="3">
        <f>SUM(day_cash_behind[[#Headers],[Material Cost]]:day_cash_behind[[#This Row],[Material Cost]])</f>
        <v>261249.99999999951</v>
      </c>
      <c r="L204" s="3">
        <f>SUM(day_cash_behind[[#Headers],[Equipment Cost]]:day_cash_behind[[#This Row],[Equipment Cost]])</f>
        <v>87999.999999999796</v>
      </c>
      <c r="M204" s="3">
        <f>SUM(day_cash_behind[[#Headers],[Sub Cost]]:day_cash_behind[[#This Row],[Sub Cost]])</f>
        <v>545894.36619718221</v>
      </c>
      <c r="N204" s="3">
        <f>SUM(day_cash_behind[[#Headers],[Other Cost]]:day_cash_behind[[#This Row],[Other Cost]])</f>
        <v>58499.999999999847</v>
      </c>
      <c r="O204" s="3">
        <f>SUM(day_cash_behind[[#This Row],[Cumulative Labor]:[Cumulative Other]])</f>
        <v>1548644.3661971812</v>
      </c>
      <c r="P204" s="3">
        <f>SUM(day_cash_behind[[#Headers],[Revenue]]:day_cash_behind[[#This Row],[Revenue]])</f>
        <v>1391622.344142644</v>
      </c>
    </row>
    <row r="205" spans="2:16" x14ac:dyDescent="0.45">
      <c r="B205" s="1">
        <v>46588</v>
      </c>
      <c r="C205" s="4">
        <f>SUMIFS(schedule[Labor CPP], schedule[Start Date],"&lt;="&amp;day_cash_behind[[#This Row],[Date]], schedule[Finish Date],"&gt;="&amp;day_cash_behind[[#This Row],[Date]])</f>
        <v>0</v>
      </c>
      <c r="D205" s="4">
        <f>SUMIFS(schedule[Material CPP], schedule[Start Date],"&lt;="&amp;day_cash_behind[[#This Row],[Date]]-$D$2, schedule[Finish Date],"&gt;="&amp;day_cash_behind[[#This Row],[Date]]-$D$2)</f>
        <v>0</v>
      </c>
      <c r="E205" s="4">
        <f>SUMIFS(schedule[Equipment CPP], schedule[Start Date],"&lt;="&amp;day_cash_behind[[#This Row],[Date]]-$E$2, schedule[Finish Date],"&gt;="&amp;day_cash_behind[[#This Row],[Date]]-$E$2)</f>
        <v>0</v>
      </c>
      <c r="F205" s="4">
        <f>SUMIFS(schedule[Sub CPP], schedule[Start Date],"&lt;="&amp;day_cash_behind[[#This Row],[Date]]-$F$2, schedule[Finish Date],"&gt;="&amp;day_cash_behind[[#This Row],[Date]]-$F$2)</f>
        <v>1936.6197183098591</v>
      </c>
      <c r="G205" s="3">
        <f>SUMIFS(schedule[Other CPP], schedule[Start Date],"&lt;="&amp;day_cash_behind[[#This Row],[Date]]-$G$2, schedule[Finish Date],"&gt;="&amp;day_cash_behind[[#This Row],[Date]]-$G$2)</f>
        <v>0</v>
      </c>
      <c r="H205" s="3">
        <f>SUM(day_cash_behind[[#This Row],[Labor Cost]:[Other Cost]])</f>
        <v>1936.6197183098591</v>
      </c>
      <c r="I205" s="3">
        <f>SUMIFS(schedule[Revenue per Day], schedule[Start Date],"&lt;="&amp;day_cash_behind[[#This Row],[Date]]-$I$2, schedule[Finish Date],"&gt;="&amp;day_cash_behind[[#This Row],[Date]]-$I$2)</f>
        <v>20877.341053936994</v>
      </c>
      <c r="J205" s="3">
        <f>SUM(day_cash_behind[[#Headers],[Labor Cost]]:day_cash_behind[[#This Row],[Labor Cost]])</f>
        <v>594999.99999999988</v>
      </c>
      <c r="K205" s="3">
        <f>SUM(day_cash_behind[[#Headers],[Material Cost]]:day_cash_behind[[#This Row],[Material Cost]])</f>
        <v>261249.99999999951</v>
      </c>
      <c r="L205" s="3">
        <f>SUM(day_cash_behind[[#Headers],[Equipment Cost]]:day_cash_behind[[#This Row],[Equipment Cost]])</f>
        <v>87999.999999999796</v>
      </c>
      <c r="M205" s="3">
        <f>SUM(day_cash_behind[[#Headers],[Sub Cost]]:day_cash_behind[[#This Row],[Sub Cost]])</f>
        <v>547830.98591549206</v>
      </c>
      <c r="N205" s="3">
        <f>SUM(day_cash_behind[[#Headers],[Other Cost]]:day_cash_behind[[#This Row],[Other Cost]])</f>
        <v>58499.999999999847</v>
      </c>
      <c r="O205" s="3">
        <f>SUM(day_cash_behind[[#This Row],[Cumulative Labor]:[Cumulative Other]])</f>
        <v>1550580.9859154911</v>
      </c>
      <c r="P205" s="3">
        <f>SUM(day_cash_behind[[#Headers],[Revenue]]:day_cash_behind[[#This Row],[Revenue]])</f>
        <v>1412499.6851965811</v>
      </c>
    </row>
    <row r="206" spans="2:16" x14ac:dyDescent="0.45">
      <c r="B206" s="1">
        <v>46589</v>
      </c>
      <c r="C206" s="4">
        <f>SUMIFS(schedule[Labor CPP], schedule[Start Date],"&lt;="&amp;day_cash_behind[[#This Row],[Date]], schedule[Finish Date],"&gt;="&amp;day_cash_behind[[#This Row],[Date]])</f>
        <v>0</v>
      </c>
      <c r="D206" s="4">
        <f>SUMIFS(schedule[Material CPP], schedule[Start Date],"&lt;="&amp;day_cash_behind[[#This Row],[Date]]-$D$2, schedule[Finish Date],"&gt;="&amp;day_cash_behind[[#This Row],[Date]]-$D$2)</f>
        <v>0</v>
      </c>
      <c r="E206" s="4">
        <f>SUMIFS(schedule[Equipment CPP], schedule[Start Date],"&lt;="&amp;day_cash_behind[[#This Row],[Date]]-$E$2, schedule[Finish Date],"&gt;="&amp;day_cash_behind[[#This Row],[Date]]-$E$2)</f>
        <v>0</v>
      </c>
      <c r="F206" s="4">
        <f>SUMIFS(schedule[Sub CPP], schedule[Start Date],"&lt;="&amp;day_cash_behind[[#This Row],[Date]]-$F$2, schedule[Finish Date],"&gt;="&amp;day_cash_behind[[#This Row],[Date]]-$F$2)</f>
        <v>1936.6197183098591</v>
      </c>
      <c r="G206" s="3">
        <f>SUMIFS(schedule[Other CPP], schedule[Start Date],"&lt;="&amp;day_cash_behind[[#This Row],[Date]]-$G$2, schedule[Finish Date],"&gt;="&amp;day_cash_behind[[#This Row],[Date]]-$G$2)</f>
        <v>0</v>
      </c>
      <c r="H206" s="3">
        <f>SUM(day_cash_behind[[#This Row],[Labor Cost]:[Other Cost]])</f>
        <v>1936.6197183098591</v>
      </c>
      <c r="I206" s="3">
        <f>SUMIFS(schedule[Revenue per Day], schedule[Start Date],"&lt;="&amp;day_cash_behind[[#This Row],[Date]]-$I$2, schedule[Finish Date],"&gt;="&amp;day_cash_behind[[#This Row],[Date]]-$I$2)</f>
        <v>20877.341053936994</v>
      </c>
      <c r="J206" s="3">
        <f>SUM(day_cash_behind[[#Headers],[Labor Cost]]:day_cash_behind[[#This Row],[Labor Cost]])</f>
        <v>594999.99999999988</v>
      </c>
      <c r="K206" s="3">
        <f>SUM(day_cash_behind[[#Headers],[Material Cost]]:day_cash_behind[[#This Row],[Material Cost]])</f>
        <v>261249.99999999951</v>
      </c>
      <c r="L206" s="3">
        <f>SUM(day_cash_behind[[#Headers],[Equipment Cost]]:day_cash_behind[[#This Row],[Equipment Cost]])</f>
        <v>87999.999999999796</v>
      </c>
      <c r="M206" s="3">
        <f>SUM(day_cash_behind[[#Headers],[Sub Cost]]:day_cash_behind[[#This Row],[Sub Cost]])</f>
        <v>549767.6056338019</v>
      </c>
      <c r="N206" s="3">
        <f>SUM(day_cash_behind[[#Headers],[Other Cost]]:day_cash_behind[[#This Row],[Other Cost]])</f>
        <v>58499.999999999847</v>
      </c>
      <c r="O206" s="3">
        <f>SUM(day_cash_behind[[#This Row],[Cumulative Labor]:[Cumulative Other]])</f>
        <v>1552517.6056338008</v>
      </c>
      <c r="P206" s="3">
        <f>SUM(day_cash_behind[[#Headers],[Revenue]]:day_cash_behind[[#This Row],[Revenue]])</f>
        <v>1433377.0262505182</v>
      </c>
    </row>
    <row r="207" spans="2:16" x14ac:dyDescent="0.45">
      <c r="B207" s="1">
        <v>46590</v>
      </c>
      <c r="C207" s="4">
        <f>SUMIFS(schedule[Labor CPP], schedule[Start Date],"&lt;="&amp;day_cash_behind[[#This Row],[Date]], schedule[Finish Date],"&gt;="&amp;day_cash_behind[[#This Row],[Date]])</f>
        <v>0</v>
      </c>
      <c r="D207" s="4">
        <f>SUMIFS(schedule[Material CPP], schedule[Start Date],"&lt;="&amp;day_cash_behind[[#This Row],[Date]]-$D$2, schedule[Finish Date],"&gt;="&amp;day_cash_behind[[#This Row],[Date]]-$D$2)</f>
        <v>0</v>
      </c>
      <c r="E207" s="4">
        <f>SUMIFS(schedule[Equipment CPP], schedule[Start Date],"&lt;="&amp;day_cash_behind[[#This Row],[Date]]-$E$2, schedule[Finish Date],"&gt;="&amp;day_cash_behind[[#This Row],[Date]]-$E$2)</f>
        <v>0</v>
      </c>
      <c r="F207" s="4">
        <f>SUMIFS(schedule[Sub CPP], schedule[Start Date],"&lt;="&amp;day_cash_behind[[#This Row],[Date]]-$F$2, schedule[Finish Date],"&gt;="&amp;day_cash_behind[[#This Row],[Date]]-$F$2)</f>
        <v>1936.6197183098591</v>
      </c>
      <c r="G207" s="3">
        <f>SUMIFS(schedule[Other CPP], schedule[Start Date],"&lt;="&amp;day_cash_behind[[#This Row],[Date]]-$G$2, schedule[Finish Date],"&gt;="&amp;day_cash_behind[[#This Row],[Date]]-$G$2)</f>
        <v>0</v>
      </c>
      <c r="H207" s="3">
        <f>SUM(day_cash_behind[[#This Row],[Labor Cost]:[Other Cost]])</f>
        <v>1936.6197183098591</v>
      </c>
      <c r="I207" s="3">
        <f>SUMIFS(schedule[Revenue per Day], schedule[Start Date],"&lt;="&amp;day_cash_behind[[#This Row],[Date]]-$I$2, schedule[Finish Date],"&gt;="&amp;day_cash_behind[[#This Row],[Date]]-$I$2)</f>
        <v>20877.341053936994</v>
      </c>
      <c r="J207" s="3">
        <f>SUM(day_cash_behind[[#Headers],[Labor Cost]]:day_cash_behind[[#This Row],[Labor Cost]])</f>
        <v>594999.99999999988</v>
      </c>
      <c r="K207" s="3">
        <f>SUM(day_cash_behind[[#Headers],[Material Cost]]:day_cash_behind[[#This Row],[Material Cost]])</f>
        <v>261249.99999999951</v>
      </c>
      <c r="L207" s="3">
        <f>SUM(day_cash_behind[[#Headers],[Equipment Cost]]:day_cash_behind[[#This Row],[Equipment Cost]])</f>
        <v>87999.999999999796</v>
      </c>
      <c r="M207" s="3">
        <f>SUM(day_cash_behind[[#Headers],[Sub Cost]]:day_cash_behind[[#This Row],[Sub Cost]])</f>
        <v>551704.22535211174</v>
      </c>
      <c r="N207" s="3">
        <f>SUM(day_cash_behind[[#Headers],[Other Cost]]:day_cash_behind[[#This Row],[Other Cost]])</f>
        <v>58499.999999999847</v>
      </c>
      <c r="O207" s="3">
        <f>SUM(day_cash_behind[[#This Row],[Cumulative Labor]:[Cumulative Other]])</f>
        <v>1554454.2253521106</v>
      </c>
      <c r="P207" s="3">
        <f>SUM(day_cash_behind[[#Headers],[Revenue]]:day_cash_behind[[#This Row],[Revenue]])</f>
        <v>1454254.3673044553</v>
      </c>
    </row>
    <row r="208" spans="2:16" x14ac:dyDescent="0.45">
      <c r="B208" s="1">
        <v>46591</v>
      </c>
      <c r="C208" s="4">
        <f>SUMIFS(schedule[Labor CPP], schedule[Start Date],"&lt;="&amp;day_cash_behind[[#This Row],[Date]], schedule[Finish Date],"&gt;="&amp;day_cash_behind[[#This Row],[Date]])</f>
        <v>0</v>
      </c>
      <c r="D208" s="4">
        <f>SUMIFS(schedule[Material CPP], schedule[Start Date],"&lt;="&amp;day_cash_behind[[#This Row],[Date]]-$D$2, schedule[Finish Date],"&gt;="&amp;day_cash_behind[[#This Row],[Date]]-$D$2)</f>
        <v>0</v>
      </c>
      <c r="E208" s="4">
        <f>SUMIFS(schedule[Equipment CPP], schedule[Start Date],"&lt;="&amp;day_cash_behind[[#This Row],[Date]]-$E$2, schedule[Finish Date],"&gt;="&amp;day_cash_behind[[#This Row],[Date]]-$E$2)</f>
        <v>0</v>
      </c>
      <c r="F208" s="4">
        <f>SUMIFS(schedule[Sub CPP], schedule[Start Date],"&lt;="&amp;day_cash_behind[[#This Row],[Date]]-$F$2, schedule[Finish Date],"&gt;="&amp;day_cash_behind[[#This Row],[Date]]-$F$2)</f>
        <v>13749.119718309857</v>
      </c>
      <c r="G208" s="3">
        <f>SUMIFS(schedule[Other CPP], schedule[Start Date],"&lt;="&amp;day_cash_behind[[#This Row],[Date]]-$G$2, schedule[Finish Date],"&gt;="&amp;day_cash_behind[[#This Row],[Date]]-$G$2)</f>
        <v>0</v>
      </c>
      <c r="H208" s="3">
        <f>SUM(day_cash_behind[[#This Row],[Labor Cost]:[Other Cost]])</f>
        <v>13749.119718309857</v>
      </c>
      <c r="I208" s="3">
        <f>SUMIFS(schedule[Revenue per Day], schedule[Start Date],"&lt;="&amp;day_cash_behind[[#This Row],[Date]]-$I$2, schedule[Finish Date],"&gt;="&amp;day_cash_behind[[#This Row],[Date]]-$I$2)</f>
        <v>16756.288422358048</v>
      </c>
      <c r="J208" s="3">
        <f>SUM(day_cash_behind[[#Headers],[Labor Cost]]:day_cash_behind[[#This Row],[Labor Cost]])</f>
        <v>594999.99999999988</v>
      </c>
      <c r="K208" s="3">
        <f>SUM(day_cash_behind[[#Headers],[Material Cost]]:day_cash_behind[[#This Row],[Material Cost]])</f>
        <v>261249.99999999951</v>
      </c>
      <c r="L208" s="3">
        <f>SUM(day_cash_behind[[#Headers],[Equipment Cost]]:day_cash_behind[[#This Row],[Equipment Cost]])</f>
        <v>87999.999999999796</v>
      </c>
      <c r="M208" s="3">
        <f>SUM(day_cash_behind[[#Headers],[Sub Cost]]:day_cash_behind[[#This Row],[Sub Cost]])</f>
        <v>565453.34507042158</v>
      </c>
      <c r="N208" s="3">
        <f>SUM(day_cash_behind[[#Headers],[Other Cost]]:day_cash_behind[[#This Row],[Other Cost]])</f>
        <v>58499.999999999847</v>
      </c>
      <c r="O208" s="3">
        <f>SUM(day_cash_behind[[#This Row],[Cumulative Labor]:[Cumulative Other]])</f>
        <v>1568203.3450704205</v>
      </c>
      <c r="P208" s="3">
        <f>SUM(day_cash_behind[[#Headers],[Revenue]]:day_cash_behind[[#This Row],[Revenue]])</f>
        <v>1471010.6557268132</v>
      </c>
    </row>
    <row r="209" spans="2:16" x14ac:dyDescent="0.45">
      <c r="B209" s="1">
        <v>46592</v>
      </c>
      <c r="C209" s="4">
        <f>SUMIFS(schedule[Labor CPP], schedule[Start Date],"&lt;="&amp;day_cash_behind[[#This Row],[Date]], schedule[Finish Date],"&gt;="&amp;day_cash_behind[[#This Row],[Date]])</f>
        <v>0</v>
      </c>
      <c r="D209" s="4">
        <f>SUMIFS(schedule[Material CPP], schedule[Start Date],"&lt;="&amp;day_cash_behind[[#This Row],[Date]]-$D$2, schedule[Finish Date],"&gt;="&amp;day_cash_behind[[#This Row],[Date]]-$D$2)</f>
        <v>0</v>
      </c>
      <c r="E209" s="4">
        <f>SUMIFS(schedule[Equipment CPP], schedule[Start Date],"&lt;="&amp;day_cash_behind[[#This Row],[Date]]-$E$2, schedule[Finish Date],"&gt;="&amp;day_cash_behind[[#This Row],[Date]]-$E$2)</f>
        <v>0</v>
      </c>
      <c r="F209" s="4">
        <f>SUMIFS(schedule[Sub CPP], schedule[Start Date],"&lt;="&amp;day_cash_behind[[#This Row],[Date]]-$F$2, schedule[Finish Date],"&gt;="&amp;day_cash_behind[[#This Row],[Date]]-$F$2)</f>
        <v>13749.119718309857</v>
      </c>
      <c r="G209" s="3">
        <f>SUMIFS(schedule[Other CPP], schedule[Start Date],"&lt;="&amp;day_cash_behind[[#This Row],[Date]]-$G$2, schedule[Finish Date],"&gt;="&amp;day_cash_behind[[#This Row],[Date]]-$G$2)</f>
        <v>0</v>
      </c>
      <c r="H209" s="3">
        <f>SUM(day_cash_behind[[#This Row],[Labor Cost]:[Other Cost]])</f>
        <v>13749.119718309857</v>
      </c>
      <c r="I209" s="3">
        <f>SUMIFS(schedule[Revenue per Day], schedule[Start Date],"&lt;="&amp;day_cash_behind[[#This Row],[Date]]-$I$2, schedule[Finish Date],"&gt;="&amp;day_cash_behind[[#This Row],[Date]]-$I$2)</f>
        <v>16756.288422358048</v>
      </c>
      <c r="J209" s="3">
        <f>SUM(day_cash_behind[[#Headers],[Labor Cost]]:day_cash_behind[[#This Row],[Labor Cost]])</f>
        <v>594999.99999999988</v>
      </c>
      <c r="K209" s="3">
        <f>SUM(day_cash_behind[[#Headers],[Material Cost]]:day_cash_behind[[#This Row],[Material Cost]])</f>
        <v>261249.99999999951</v>
      </c>
      <c r="L209" s="3">
        <f>SUM(day_cash_behind[[#Headers],[Equipment Cost]]:day_cash_behind[[#This Row],[Equipment Cost]])</f>
        <v>87999.999999999796</v>
      </c>
      <c r="M209" s="3">
        <f>SUM(day_cash_behind[[#Headers],[Sub Cost]]:day_cash_behind[[#This Row],[Sub Cost]])</f>
        <v>579202.46478873142</v>
      </c>
      <c r="N209" s="3">
        <f>SUM(day_cash_behind[[#Headers],[Other Cost]]:day_cash_behind[[#This Row],[Other Cost]])</f>
        <v>58499.999999999847</v>
      </c>
      <c r="O209" s="3">
        <f>SUM(day_cash_behind[[#This Row],[Cumulative Labor]:[Cumulative Other]])</f>
        <v>1581952.4647887305</v>
      </c>
      <c r="P209" s="3">
        <f>SUM(day_cash_behind[[#Headers],[Revenue]]:day_cash_behind[[#This Row],[Revenue]])</f>
        <v>1487766.9441491712</v>
      </c>
    </row>
    <row r="210" spans="2:16" x14ac:dyDescent="0.45">
      <c r="B210" s="1">
        <v>46593</v>
      </c>
      <c r="C210" s="4">
        <f>SUMIFS(schedule[Labor CPP], schedule[Start Date],"&lt;="&amp;day_cash_behind[[#This Row],[Date]], schedule[Finish Date],"&gt;="&amp;day_cash_behind[[#This Row],[Date]])</f>
        <v>0</v>
      </c>
      <c r="D210" s="4">
        <f>SUMIFS(schedule[Material CPP], schedule[Start Date],"&lt;="&amp;day_cash_behind[[#This Row],[Date]]-$D$2, schedule[Finish Date],"&gt;="&amp;day_cash_behind[[#This Row],[Date]]-$D$2)</f>
        <v>0</v>
      </c>
      <c r="E210" s="4">
        <f>SUMIFS(schedule[Equipment CPP], schedule[Start Date],"&lt;="&amp;day_cash_behind[[#This Row],[Date]]-$E$2, schedule[Finish Date],"&gt;="&amp;day_cash_behind[[#This Row],[Date]]-$E$2)</f>
        <v>0</v>
      </c>
      <c r="F210" s="4">
        <f>SUMIFS(schedule[Sub CPP], schedule[Start Date],"&lt;="&amp;day_cash_behind[[#This Row],[Date]]-$F$2, schedule[Finish Date],"&gt;="&amp;day_cash_behind[[#This Row],[Date]]-$F$2)</f>
        <v>13749.119718309857</v>
      </c>
      <c r="G210" s="3">
        <f>SUMIFS(schedule[Other CPP], schedule[Start Date],"&lt;="&amp;day_cash_behind[[#This Row],[Date]]-$G$2, schedule[Finish Date],"&gt;="&amp;day_cash_behind[[#This Row],[Date]]-$G$2)</f>
        <v>0</v>
      </c>
      <c r="H210" s="3">
        <f>SUM(day_cash_behind[[#This Row],[Labor Cost]:[Other Cost]])</f>
        <v>13749.119718309857</v>
      </c>
      <c r="I210" s="3">
        <f>SUMIFS(schedule[Revenue per Day], schedule[Start Date],"&lt;="&amp;day_cash_behind[[#This Row],[Date]]-$I$2, schedule[Finish Date],"&gt;="&amp;day_cash_behind[[#This Row],[Date]]-$I$2)</f>
        <v>16756.288422358048</v>
      </c>
      <c r="J210" s="3">
        <f>SUM(day_cash_behind[[#Headers],[Labor Cost]]:day_cash_behind[[#This Row],[Labor Cost]])</f>
        <v>594999.99999999988</v>
      </c>
      <c r="K210" s="3">
        <f>SUM(day_cash_behind[[#Headers],[Material Cost]]:day_cash_behind[[#This Row],[Material Cost]])</f>
        <v>261249.99999999951</v>
      </c>
      <c r="L210" s="3">
        <f>SUM(day_cash_behind[[#Headers],[Equipment Cost]]:day_cash_behind[[#This Row],[Equipment Cost]])</f>
        <v>87999.999999999796</v>
      </c>
      <c r="M210" s="3">
        <f>SUM(day_cash_behind[[#Headers],[Sub Cost]]:day_cash_behind[[#This Row],[Sub Cost]])</f>
        <v>592951.58450704126</v>
      </c>
      <c r="N210" s="3">
        <f>SUM(day_cash_behind[[#Headers],[Other Cost]]:day_cash_behind[[#This Row],[Other Cost]])</f>
        <v>58499.999999999847</v>
      </c>
      <c r="O210" s="3">
        <f>SUM(day_cash_behind[[#This Row],[Cumulative Labor]:[Cumulative Other]])</f>
        <v>1595701.5845070402</v>
      </c>
      <c r="P210" s="3">
        <f>SUM(day_cash_behind[[#Headers],[Revenue]]:day_cash_behind[[#This Row],[Revenue]])</f>
        <v>1504523.2325715292</v>
      </c>
    </row>
    <row r="211" spans="2:16" x14ac:dyDescent="0.45">
      <c r="B211" s="1">
        <v>46594</v>
      </c>
      <c r="C211" s="4">
        <f>SUMIFS(schedule[Labor CPP], schedule[Start Date],"&lt;="&amp;day_cash_behind[[#This Row],[Date]], schedule[Finish Date],"&gt;="&amp;day_cash_behind[[#This Row],[Date]])</f>
        <v>0</v>
      </c>
      <c r="D211" s="4">
        <f>SUMIFS(schedule[Material CPP], schedule[Start Date],"&lt;="&amp;day_cash_behind[[#This Row],[Date]]-$D$2, schedule[Finish Date],"&gt;="&amp;day_cash_behind[[#This Row],[Date]]-$D$2)</f>
        <v>0</v>
      </c>
      <c r="E211" s="4">
        <f>SUMIFS(schedule[Equipment CPP], schedule[Start Date],"&lt;="&amp;day_cash_behind[[#This Row],[Date]]-$E$2, schedule[Finish Date],"&gt;="&amp;day_cash_behind[[#This Row],[Date]]-$E$2)</f>
        <v>0</v>
      </c>
      <c r="F211" s="4">
        <f>SUMIFS(schedule[Sub CPP], schedule[Start Date],"&lt;="&amp;day_cash_behind[[#This Row],[Date]]-$F$2, schedule[Finish Date],"&gt;="&amp;day_cash_behind[[#This Row],[Date]]-$F$2)</f>
        <v>13749.119718309857</v>
      </c>
      <c r="G211" s="3">
        <f>SUMIFS(schedule[Other CPP], schedule[Start Date],"&lt;="&amp;day_cash_behind[[#This Row],[Date]]-$G$2, schedule[Finish Date],"&gt;="&amp;day_cash_behind[[#This Row],[Date]]-$G$2)</f>
        <v>0</v>
      </c>
      <c r="H211" s="3">
        <f>SUM(day_cash_behind[[#This Row],[Labor Cost]:[Other Cost]])</f>
        <v>13749.119718309857</v>
      </c>
      <c r="I211" s="3">
        <f>SUMIFS(schedule[Revenue per Day], schedule[Start Date],"&lt;="&amp;day_cash_behind[[#This Row],[Date]]-$I$2, schedule[Finish Date],"&gt;="&amp;day_cash_behind[[#This Row],[Date]]-$I$2)</f>
        <v>16756.288422358048</v>
      </c>
      <c r="J211" s="3">
        <f>SUM(day_cash_behind[[#Headers],[Labor Cost]]:day_cash_behind[[#This Row],[Labor Cost]])</f>
        <v>594999.99999999988</v>
      </c>
      <c r="K211" s="3">
        <f>SUM(day_cash_behind[[#Headers],[Material Cost]]:day_cash_behind[[#This Row],[Material Cost]])</f>
        <v>261249.99999999951</v>
      </c>
      <c r="L211" s="3">
        <f>SUM(day_cash_behind[[#Headers],[Equipment Cost]]:day_cash_behind[[#This Row],[Equipment Cost]])</f>
        <v>87999.999999999796</v>
      </c>
      <c r="M211" s="3">
        <f>SUM(day_cash_behind[[#Headers],[Sub Cost]]:day_cash_behind[[#This Row],[Sub Cost]])</f>
        <v>606700.7042253511</v>
      </c>
      <c r="N211" s="3">
        <f>SUM(day_cash_behind[[#Headers],[Other Cost]]:day_cash_behind[[#This Row],[Other Cost]])</f>
        <v>58499.999999999847</v>
      </c>
      <c r="O211" s="3">
        <f>SUM(day_cash_behind[[#This Row],[Cumulative Labor]:[Cumulative Other]])</f>
        <v>1609450.7042253499</v>
      </c>
      <c r="P211" s="3">
        <f>SUM(day_cash_behind[[#Headers],[Revenue]]:day_cash_behind[[#This Row],[Revenue]])</f>
        <v>1521279.5209938872</v>
      </c>
    </row>
    <row r="212" spans="2:16" x14ac:dyDescent="0.45">
      <c r="B212" s="1">
        <v>46595</v>
      </c>
      <c r="C212" s="4">
        <f>SUMIFS(schedule[Labor CPP], schedule[Start Date],"&lt;="&amp;day_cash_behind[[#This Row],[Date]], schedule[Finish Date],"&gt;="&amp;day_cash_behind[[#This Row],[Date]])</f>
        <v>0</v>
      </c>
      <c r="D212" s="4">
        <f>SUMIFS(schedule[Material CPP], schedule[Start Date],"&lt;="&amp;day_cash_behind[[#This Row],[Date]]-$D$2, schedule[Finish Date],"&gt;="&amp;day_cash_behind[[#This Row],[Date]]-$D$2)</f>
        <v>0</v>
      </c>
      <c r="E212" s="4">
        <f>SUMIFS(schedule[Equipment CPP], schedule[Start Date],"&lt;="&amp;day_cash_behind[[#This Row],[Date]]-$E$2, schedule[Finish Date],"&gt;="&amp;day_cash_behind[[#This Row],[Date]]-$E$2)</f>
        <v>0</v>
      </c>
      <c r="F212" s="4">
        <f>SUMIFS(schedule[Sub CPP], schedule[Start Date],"&lt;="&amp;day_cash_behind[[#This Row],[Date]]-$F$2, schedule[Finish Date],"&gt;="&amp;day_cash_behind[[#This Row],[Date]]-$F$2)</f>
        <v>13749.119718309857</v>
      </c>
      <c r="G212" s="3">
        <f>SUMIFS(schedule[Other CPP], schedule[Start Date],"&lt;="&amp;day_cash_behind[[#This Row],[Date]]-$G$2, schedule[Finish Date],"&gt;="&amp;day_cash_behind[[#This Row],[Date]]-$G$2)</f>
        <v>0</v>
      </c>
      <c r="H212" s="3">
        <f>SUM(day_cash_behind[[#This Row],[Labor Cost]:[Other Cost]])</f>
        <v>13749.119718309857</v>
      </c>
      <c r="I212" s="3">
        <f>SUMIFS(schedule[Revenue per Day], schedule[Start Date],"&lt;="&amp;day_cash_behind[[#This Row],[Date]]-$I$2, schedule[Finish Date],"&gt;="&amp;day_cash_behind[[#This Row],[Date]]-$I$2)</f>
        <v>16756.288422358048</v>
      </c>
      <c r="J212" s="3">
        <f>SUM(day_cash_behind[[#Headers],[Labor Cost]]:day_cash_behind[[#This Row],[Labor Cost]])</f>
        <v>594999.99999999988</v>
      </c>
      <c r="K212" s="3">
        <f>SUM(day_cash_behind[[#Headers],[Material Cost]]:day_cash_behind[[#This Row],[Material Cost]])</f>
        <v>261249.99999999951</v>
      </c>
      <c r="L212" s="3">
        <f>SUM(day_cash_behind[[#Headers],[Equipment Cost]]:day_cash_behind[[#This Row],[Equipment Cost]])</f>
        <v>87999.999999999796</v>
      </c>
      <c r="M212" s="3">
        <f>SUM(day_cash_behind[[#Headers],[Sub Cost]]:day_cash_behind[[#This Row],[Sub Cost]])</f>
        <v>620449.82394366094</v>
      </c>
      <c r="N212" s="3">
        <f>SUM(day_cash_behind[[#Headers],[Other Cost]]:day_cash_behind[[#This Row],[Other Cost]])</f>
        <v>58499.999999999847</v>
      </c>
      <c r="O212" s="3">
        <f>SUM(day_cash_behind[[#This Row],[Cumulative Labor]:[Cumulative Other]])</f>
        <v>1623199.8239436599</v>
      </c>
      <c r="P212" s="3">
        <f>SUM(day_cash_behind[[#Headers],[Revenue]]:day_cash_behind[[#This Row],[Revenue]])</f>
        <v>1538035.8094162452</v>
      </c>
    </row>
    <row r="213" spans="2:16" x14ac:dyDescent="0.45">
      <c r="B213" s="1">
        <v>46596</v>
      </c>
      <c r="C213" s="4">
        <f>SUMIFS(schedule[Labor CPP], schedule[Start Date],"&lt;="&amp;day_cash_behind[[#This Row],[Date]], schedule[Finish Date],"&gt;="&amp;day_cash_behind[[#This Row],[Date]])</f>
        <v>0</v>
      </c>
      <c r="D213" s="4">
        <f>SUMIFS(schedule[Material CPP], schedule[Start Date],"&lt;="&amp;day_cash_behind[[#This Row],[Date]]-$D$2, schedule[Finish Date],"&gt;="&amp;day_cash_behind[[#This Row],[Date]]-$D$2)</f>
        <v>0</v>
      </c>
      <c r="E213" s="4">
        <f>SUMIFS(schedule[Equipment CPP], schedule[Start Date],"&lt;="&amp;day_cash_behind[[#This Row],[Date]]-$E$2, schedule[Finish Date],"&gt;="&amp;day_cash_behind[[#This Row],[Date]]-$E$2)</f>
        <v>0</v>
      </c>
      <c r="F213" s="4">
        <f>SUMIFS(schedule[Sub CPP], schedule[Start Date],"&lt;="&amp;day_cash_behind[[#This Row],[Date]]-$F$2, schedule[Finish Date],"&gt;="&amp;day_cash_behind[[#This Row],[Date]]-$F$2)</f>
        <v>13749.119718309857</v>
      </c>
      <c r="G213" s="3">
        <f>SUMIFS(schedule[Other CPP], schedule[Start Date],"&lt;="&amp;day_cash_behind[[#This Row],[Date]]-$G$2, schedule[Finish Date],"&gt;="&amp;day_cash_behind[[#This Row],[Date]]-$G$2)</f>
        <v>0</v>
      </c>
      <c r="H213" s="3">
        <f>SUM(day_cash_behind[[#This Row],[Labor Cost]:[Other Cost]])</f>
        <v>13749.119718309857</v>
      </c>
      <c r="I213" s="3">
        <f>SUMIFS(schedule[Revenue per Day], schedule[Start Date],"&lt;="&amp;day_cash_behind[[#This Row],[Date]]-$I$2, schedule[Finish Date],"&gt;="&amp;day_cash_behind[[#This Row],[Date]]-$I$2)</f>
        <v>16756.288422358048</v>
      </c>
      <c r="J213" s="3">
        <f>SUM(day_cash_behind[[#Headers],[Labor Cost]]:day_cash_behind[[#This Row],[Labor Cost]])</f>
        <v>594999.99999999988</v>
      </c>
      <c r="K213" s="3">
        <f>SUM(day_cash_behind[[#Headers],[Material Cost]]:day_cash_behind[[#This Row],[Material Cost]])</f>
        <v>261249.99999999951</v>
      </c>
      <c r="L213" s="3">
        <f>SUM(day_cash_behind[[#Headers],[Equipment Cost]]:day_cash_behind[[#This Row],[Equipment Cost]])</f>
        <v>87999.999999999796</v>
      </c>
      <c r="M213" s="3">
        <f>SUM(day_cash_behind[[#Headers],[Sub Cost]]:day_cash_behind[[#This Row],[Sub Cost]])</f>
        <v>634198.94366197078</v>
      </c>
      <c r="N213" s="3">
        <f>SUM(day_cash_behind[[#Headers],[Other Cost]]:day_cash_behind[[#This Row],[Other Cost]])</f>
        <v>58499.999999999847</v>
      </c>
      <c r="O213" s="3">
        <f>SUM(day_cash_behind[[#This Row],[Cumulative Labor]:[Cumulative Other]])</f>
        <v>1636948.9436619699</v>
      </c>
      <c r="P213" s="3">
        <f>SUM(day_cash_behind[[#Headers],[Revenue]]:day_cash_behind[[#This Row],[Revenue]])</f>
        <v>1554792.0978386032</v>
      </c>
    </row>
    <row r="214" spans="2:16" x14ac:dyDescent="0.45">
      <c r="B214" s="1">
        <v>46597</v>
      </c>
      <c r="C214" s="4">
        <f>SUMIFS(schedule[Labor CPP], schedule[Start Date],"&lt;="&amp;day_cash_behind[[#This Row],[Date]], schedule[Finish Date],"&gt;="&amp;day_cash_behind[[#This Row],[Date]])</f>
        <v>0</v>
      </c>
      <c r="D214" s="4">
        <f>SUMIFS(schedule[Material CPP], schedule[Start Date],"&lt;="&amp;day_cash_behind[[#This Row],[Date]]-$D$2, schedule[Finish Date],"&gt;="&amp;day_cash_behind[[#This Row],[Date]]-$D$2)</f>
        <v>0</v>
      </c>
      <c r="E214" s="4">
        <f>SUMIFS(schedule[Equipment CPP], schedule[Start Date],"&lt;="&amp;day_cash_behind[[#This Row],[Date]]-$E$2, schedule[Finish Date],"&gt;="&amp;day_cash_behind[[#This Row],[Date]]-$E$2)</f>
        <v>0</v>
      </c>
      <c r="F214" s="4">
        <f>SUMIFS(schedule[Sub CPP], schedule[Start Date],"&lt;="&amp;day_cash_behind[[#This Row],[Date]]-$F$2, schedule[Finish Date],"&gt;="&amp;day_cash_behind[[#This Row],[Date]]-$F$2)</f>
        <v>13749.119718309857</v>
      </c>
      <c r="G214" s="3">
        <f>SUMIFS(schedule[Other CPP], schedule[Start Date],"&lt;="&amp;day_cash_behind[[#This Row],[Date]]-$G$2, schedule[Finish Date],"&gt;="&amp;day_cash_behind[[#This Row],[Date]]-$G$2)</f>
        <v>0</v>
      </c>
      <c r="H214" s="3">
        <f>SUM(day_cash_behind[[#This Row],[Labor Cost]:[Other Cost]])</f>
        <v>13749.119718309857</v>
      </c>
      <c r="I214" s="3">
        <f>SUMIFS(schedule[Revenue per Day], schedule[Start Date],"&lt;="&amp;day_cash_behind[[#This Row],[Date]]-$I$2, schedule[Finish Date],"&gt;="&amp;day_cash_behind[[#This Row],[Date]]-$I$2)</f>
        <v>16756.288422358048</v>
      </c>
      <c r="J214" s="3">
        <f>SUM(day_cash_behind[[#Headers],[Labor Cost]]:day_cash_behind[[#This Row],[Labor Cost]])</f>
        <v>594999.99999999988</v>
      </c>
      <c r="K214" s="3">
        <f>SUM(day_cash_behind[[#Headers],[Material Cost]]:day_cash_behind[[#This Row],[Material Cost]])</f>
        <v>261249.99999999951</v>
      </c>
      <c r="L214" s="3">
        <f>SUM(day_cash_behind[[#Headers],[Equipment Cost]]:day_cash_behind[[#This Row],[Equipment Cost]])</f>
        <v>87999.999999999796</v>
      </c>
      <c r="M214" s="3">
        <f>SUM(day_cash_behind[[#Headers],[Sub Cost]]:day_cash_behind[[#This Row],[Sub Cost]])</f>
        <v>647948.06338028063</v>
      </c>
      <c r="N214" s="3">
        <f>SUM(day_cash_behind[[#Headers],[Other Cost]]:day_cash_behind[[#This Row],[Other Cost]])</f>
        <v>58499.999999999847</v>
      </c>
      <c r="O214" s="3">
        <f>SUM(day_cash_behind[[#This Row],[Cumulative Labor]:[Cumulative Other]])</f>
        <v>1650698.0633802796</v>
      </c>
      <c r="P214" s="3">
        <f>SUM(day_cash_behind[[#Headers],[Revenue]]:day_cash_behind[[#This Row],[Revenue]])</f>
        <v>1571548.3862609612</v>
      </c>
    </row>
    <row r="215" spans="2:16" x14ac:dyDescent="0.45">
      <c r="B215" s="1">
        <v>46598</v>
      </c>
      <c r="C215" s="4">
        <f>SUMIFS(schedule[Labor CPP], schedule[Start Date],"&lt;="&amp;day_cash_behind[[#This Row],[Date]], schedule[Finish Date],"&gt;="&amp;day_cash_behind[[#This Row],[Date]])</f>
        <v>0</v>
      </c>
      <c r="D215" s="4">
        <f>SUMIFS(schedule[Material CPP], schedule[Start Date],"&lt;="&amp;day_cash_behind[[#This Row],[Date]]-$D$2, schedule[Finish Date],"&gt;="&amp;day_cash_behind[[#This Row],[Date]]-$D$2)</f>
        <v>0</v>
      </c>
      <c r="E215" s="4">
        <f>SUMIFS(schedule[Equipment CPP], schedule[Start Date],"&lt;="&amp;day_cash_behind[[#This Row],[Date]]-$E$2, schedule[Finish Date],"&gt;="&amp;day_cash_behind[[#This Row],[Date]]-$E$2)</f>
        <v>0</v>
      </c>
      <c r="F215" s="4">
        <f>SUMIFS(schedule[Sub CPP], schedule[Start Date],"&lt;="&amp;day_cash_behind[[#This Row],[Date]]-$F$2, schedule[Finish Date],"&gt;="&amp;day_cash_behind[[#This Row],[Date]]-$F$2)</f>
        <v>13749.119718309857</v>
      </c>
      <c r="G215" s="3">
        <f>SUMIFS(schedule[Other CPP], schedule[Start Date],"&lt;="&amp;day_cash_behind[[#This Row],[Date]]-$G$2, schedule[Finish Date],"&gt;="&amp;day_cash_behind[[#This Row],[Date]]-$G$2)</f>
        <v>0</v>
      </c>
      <c r="H215" s="3">
        <f>SUM(day_cash_behind[[#This Row],[Labor Cost]:[Other Cost]])</f>
        <v>13749.119718309857</v>
      </c>
      <c r="I215" s="3">
        <f>SUMIFS(schedule[Revenue per Day], schedule[Start Date],"&lt;="&amp;day_cash_behind[[#This Row],[Date]]-$I$2, schedule[Finish Date],"&gt;="&amp;day_cash_behind[[#This Row],[Date]]-$I$2)</f>
        <v>8346.2884223580477</v>
      </c>
      <c r="J215" s="3">
        <f>SUM(day_cash_behind[[#Headers],[Labor Cost]]:day_cash_behind[[#This Row],[Labor Cost]])</f>
        <v>594999.99999999988</v>
      </c>
      <c r="K215" s="3">
        <f>SUM(day_cash_behind[[#Headers],[Material Cost]]:day_cash_behind[[#This Row],[Material Cost]])</f>
        <v>261249.99999999951</v>
      </c>
      <c r="L215" s="3">
        <f>SUM(day_cash_behind[[#Headers],[Equipment Cost]]:day_cash_behind[[#This Row],[Equipment Cost]])</f>
        <v>87999.999999999796</v>
      </c>
      <c r="M215" s="3">
        <f>SUM(day_cash_behind[[#Headers],[Sub Cost]]:day_cash_behind[[#This Row],[Sub Cost]])</f>
        <v>661697.18309859047</v>
      </c>
      <c r="N215" s="3">
        <f>SUM(day_cash_behind[[#Headers],[Other Cost]]:day_cash_behind[[#This Row],[Other Cost]])</f>
        <v>58499.999999999847</v>
      </c>
      <c r="O215" s="3">
        <f>SUM(day_cash_behind[[#This Row],[Cumulative Labor]:[Cumulative Other]])</f>
        <v>1664447.1830985893</v>
      </c>
      <c r="P215" s="3">
        <f>SUM(day_cash_behind[[#Headers],[Revenue]]:day_cash_behind[[#This Row],[Revenue]])</f>
        <v>1579894.6746833192</v>
      </c>
    </row>
    <row r="216" spans="2:16" x14ac:dyDescent="0.45">
      <c r="B216" s="1">
        <v>46599</v>
      </c>
      <c r="C216" s="4">
        <f>SUMIFS(schedule[Labor CPP], schedule[Start Date],"&lt;="&amp;day_cash_behind[[#This Row],[Date]], schedule[Finish Date],"&gt;="&amp;day_cash_behind[[#This Row],[Date]])</f>
        <v>0</v>
      </c>
      <c r="D216" s="4">
        <f>SUMIFS(schedule[Material CPP], schedule[Start Date],"&lt;="&amp;day_cash_behind[[#This Row],[Date]]-$D$2, schedule[Finish Date],"&gt;="&amp;day_cash_behind[[#This Row],[Date]]-$D$2)</f>
        <v>0</v>
      </c>
      <c r="E216" s="4">
        <f>SUMIFS(schedule[Equipment CPP], schedule[Start Date],"&lt;="&amp;day_cash_behind[[#This Row],[Date]]-$E$2, schedule[Finish Date],"&gt;="&amp;day_cash_behind[[#This Row],[Date]]-$E$2)</f>
        <v>0</v>
      </c>
      <c r="F216" s="4">
        <f>SUMIFS(schedule[Sub CPP], schedule[Start Date],"&lt;="&amp;day_cash_behind[[#This Row],[Date]]-$F$2, schedule[Finish Date],"&gt;="&amp;day_cash_behind[[#This Row],[Date]]-$F$2)</f>
        <v>13749.119718309857</v>
      </c>
      <c r="G216" s="3">
        <f>SUMIFS(schedule[Other CPP], schedule[Start Date],"&lt;="&amp;day_cash_behind[[#This Row],[Date]]-$G$2, schedule[Finish Date],"&gt;="&amp;day_cash_behind[[#This Row],[Date]]-$G$2)</f>
        <v>0</v>
      </c>
      <c r="H216" s="3">
        <f>SUM(day_cash_behind[[#This Row],[Labor Cost]:[Other Cost]])</f>
        <v>13749.119718309857</v>
      </c>
      <c r="I216" s="3">
        <f>SUMIFS(schedule[Revenue per Day], schedule[Start Date],"&lt;="&amp;day_cash_behind[[#This Row],[Date]]-$I$2, schedule[Finish Date],"&gt;="&amp;day_cash_behind[[#This Row],[Date]]-$I$2)</f>
        <v>8346.2884223580477</v>
      </c>
      <c r="J216" s="3">
        <f>SUM(day_cash_behind[[#Headers],[Labor Cost]]:day_cash_behind[[#This Row],[Labor Cost]])</f>
        <v>594999.99999999988</v>
      </c>
      <c r="K216" s="3">
        <f>SUM(day_cash_behind[[#Headers],[Material Cost]]:day_cash_behind[[#This Row],[Material Cost]])</f>
        <v>261249.99999999951</v>
      </c>
      <c r="L216" s="3">
        <f>SUM(day_cash_behind[[#Headers],[Equipment Cost]]:day_cash_behind[[#This Row],[Equipment Cost]])</f>
        <v>87999.999999999796</v>
      </c>
      <c r="M216" s="3">
        <f>SUM(day_cash_behind[[#Headers],[Sub Cost]]:day_cash_behind[[#This Row],[Sub Cost]])</f>
        <v>675446.30281690031</v>
      </c>
      <c r="N216" s="3">
        <f>SUM(day_cash_behind[[#Headers],[Other Cost]]:day_cash_behind[[#This Row],[Other Cost]])</f>
        <v>58499.999999999847</v>
      </c>
      <c r="O216" s="3">
        <f>SUM(day_cash_behind[[#This Row],[Cumulative Labor]:[Cumulative Other]])</f>
        <v>1678196.3028168993</v>
      </c>
      <c r="P216" s="3">
        <f>SUM(day_cash_behind[[#Headers],[Revenue]]:day_cash_behind[[#This Row],[Revenue]])</f>
        <v>1588240.9631056772</v>
      </c>
    </row>
    <row r="217" spans="2:16" x14ac:dyDescent="0.45">
      <c r="B217" s="1">
        <v>46600</v>
      </c>
      <c r="C217" s="4">
        <f>SUMIFS(schedule[Labor CPP], schedule[Start Date],"&lt;="&amp;day_cash_behind[[#This Row],[Date]], schedule[Finish Date],"&gt;="&amp;day_cash_behind[[#This Row],[Date]])</f>
        <v>0</v>
      </c>
      <c r="D217" s="4">
        <f>SUMIFS(schedule[Material CPP], schedule[Start Date],"&lt;="&amp;day_cash_behind[[#This Row],[Date]]-$D$2, schedule[Finish Date],"&gt;="&amp;day_cash_behind[[#This Row],[Date]]-$D$2)</f>
        <v>0</v>
      </c>
      <c r="E217" s="4">
        <f>SUMIFS(schedule[Equipment CPP], schedule[Start Date],"&lt;="&amp;day_cash_behind[[#This Row],[Date]]-$E$2, schedule[Finish Date],"&gt;="&amp;day_cash_behind[[#This Row],[Date]]-$E$2)</f>
        <v>0</v>
      </c>
      <c r="F217" s="4">
        <f>SUMIFS(schedule[Sub CPP], schedule[Start Date],"&lt;="&amp;day_cash_behind[[#This Row],[Date]]-$F$2, schedule[Finish Date],"&gt;="&amp;day_cash_behind[[#This Row],[Date]]-$F$2)</f>
        <v>13749.119718309857</v>
      </c>
      <c r="G217" s="3">
        <f>SUMIFS(schedule[Other CPP], schedule[Start Date],"&lt;="&amp;day_cash_behind[[#This Row],[Date]]-$G$2, schedule[Finish Date],"&gt;="&amp;day_cash_behind[[#This Row],[Date]]-$G$2)</f>
        <v>0</v>
      </c>
      <c r="H217" s="3">
        <f>SUM(day_cash_behind[[#This Row],[Labor Cost]:[Other Cost]])</f>
        <v>13749.119718309857</v>
      </c>
      <c r="I217" s="3">
        <f>SUMIFS(schedule[Revenue per Day], schedule[Start Date],"&lt;="&amp;day_cash_behind[[#This Row],[Date]]-$I$2, schedule[Finish Date],"&gt;="&amp;day_cash_behind[[#This Row],[Date]]-$I$2)</f>
        <v>8346.2884223580477</v>
      </c>
      <c r="J217" s="3">
        <f>SUM(day_cash_behind[[#Headers],[Labor Cost]]:day_cash_behind[[#This Row],[Labor Cost]])</f>
        <v>594999.99999999988</v>
      </c>
      <c r="K217" s="3">
        <f>SUM(day_cash_behind[[#Headers],[Material Cost]]:day_cash_behind[[#This Row],[Material Cost]])</f>
        <v>261249.99999999951</v>
      </c>
      <c r="L217" s="3">
        <f>SUM(day_cash_behind[[#Headers],[Equipment Cost]]:day_cash_behind[[#This Row],[Equipment Cost]])</f>
        <v>87999.999999999796</v>
      </c>
      <c r="M217" s="3">
        <f>SUM(day_cash_behind[[#Headers],[Sub Cost]]:day_cash_behind[[#This Row],[Sub Cost]])</f>
        <v>689195.42253521015</v>
      </c>
      <c r="N217" s="3">
        <f>SUM(day_cash_behind[[#Headers],[Other Cost]]:day_cash_behind[[#This Row],[Other Cost]])</f>
        <v>58499.999999999847</v>
      </c>
      <c r="O217" s="3">
        <f>SUM(day_cash_behind[[#This Row],[Cumulative Labor]:[Cumulative Other]])</f>
        <v>1691945.4225352092</v>
      </c>
      <c r="P217" s="3">
        <f>SUM(day_cash_behind[[#Headers],[Revenue]]:day_cash_behind[[#This Row],[Revenue]])</f>
        <v>1596587.2515280352</v>
      </c>
    </row>
    <row r="218" spans="2:16" x14ac:dyDescent="0.45">
      <c r="B218" s="1">
        <v>46601</v>
      </c>
      <c r="C218" s="4">
        <f>SUMIFS(schedule[Labor CPP], schedule[Start Date],"&lt;="&amp;day_cash_behind[[#This Row],[Date]], schedule[Finish Date],"&gt;="&amp;day_cash_behind[[#This Row],[Date]])</f>
        <v>0</v>
      </c>
      <c r="D218" s="4">
        <f>SUMIFS(schedule[Material CPP], schedule[Start Date],"&lt;="&amp;day_cash_behind[[#This Row],[Date]]-$D$2, schedule[Finish Date],"&gt;="&amp;day_cash_behind[[#This Row],[Date]]-$D$2)</f>
        <v>0</v>
      </c>
      <c r="E218" s="4">
        <f>SUMIFS(schedule[Equipment CPP], schedule[Start Date],"&lt;="&amp;day_cash_behind[[#This Row],[Date]]-$E$2, schedule[Finish Date],"&gt;="&amp;day_cash_behind[[#This Row],[Date]]-$E$2)</f>
        <v>0</v>
      </c>
      <c r="F218" s="4">
        <f>SUMIFS(schedule[Sub CPP], schedule[Start Date],"&lt;="&amp;day_cash_behind[[#This Row],[Date]]-$F$2, schedule[Finish Date],"&gt;="&amp;day_cash_behind[[#This Row],[Date]]-$F$2)</f>
        <v>13749.119718309857</v>
      </c>
      <c r="G218" s="3">
        <f>SUMIFS(schedule[Other CPP], schedule[Start Date],"&lt;="&amp;day_cash_behind[[#This Row],[Date]]-$G$2, schedule[Finish Date],"&gt;="&amp;day_cash_behind[[#This Row],[Date]]-$G$2)</f>
        <v>0</v>
      </c>
      <c r="H218" s="3">
        <f>SUM(day_cash_behind[[#This Row],[Labor Cost]:[Other Cost]])</f>
        <v>13749.119718309857</v>
      </c>
      <c r="I218" s="3">
        <f>SUMIFS(schedule[Revenue per Day], schedule[Start Date],"&lt;="&amp;day_cash_behind[[#This Row],[Date]]-$I$2, schedule[Finish Date],"&gt;="&amp;day_cash_behind[[#This Row],[Date]]-$I$2)</f>
        <v>8346.2884223580477</v>
      </c>
      <c r="J218" s="3">
        <f>SUM(day_cash_behind[[#Headers],[Labor Cost]]:day_cash_behind[[#This Row],[Labor Cost]])</f>
        <v>594999.99999999988</v>
      </c>
      <c r="K218" s="3">
        <f>SUM(day_cash_behind[[#Headers],[Material Cost]]:day_cash_behind[[#This Row],[Material Cost]])</f>
        <v>261249.99999999951</v>
      </c>
      <c r="L218" s="3">
        <f>SUM(day_cash_behind[[#Headers],[Equipment Cost]]:day_cash_behind[[#This Row],[Equipment Cost]])</f>
        <v>87999.999999999796</v>
      </c>
      <c r="M218" s="3">
        <f>SUM(day_cash_behind[[#Headers],[Sub Cost]]:day_cash_behind[[#This Row],[Sub Cost]])</f>
        <v>702944.54225351999</v>
      </c>
      <c r="N218" s="3">
        <f>SUM(day_cash_behind[[#Headers],[Other Cost]]:day_cash_behind[[#This Row],[Other Cost]])</f>
        <v>58499.999999999847</v>
      </c>
      <c r="O218" s="3">
        <f>SUM(day_cash_behind[[#This Row],[Cumulative Labor]:[Cumulative Other]])</f>
        <v>1705694.5422535189</v>
      </c>
      <c r="P218" s="3">
        <f>SUM(day_cash_behind[[#Headers],[Revenue]]:day_cash_behind[[#This Row],[Revenue]])</f>
        <v>1604933.5399503931</v>
      </c>
    </row>
    <row r="219" spans="2:16" x14ac:dyDescent="0.45">
      <c r="B219" s="1">
        <v>46602</v>
      </c>
      <c r="C219" s="4">
        <f>SUMIFS(schedule[Labor CPP], schedule[Start Date],"&lt;="&amp;day_cash_behind[[#This Row],[Date]], schedule[Finish Date],"&gt;="&amp;day_cash_behind[[#This Row],[Date]])</f>
        <v>0</v>
      </c>
      <c r="D219" s="4">
        <f>SUMIFS(schedule[Material CPP], schedule[Start Date],"&lt;="&amp;day_cash_behind[[#This Row],[Date]]-$D$2, schedule[Finish Date],"&gt;="&amp;day_cash_behind[[#This Row],[Date]]-$D$2)</f>
        <v>0</v>
      </c>
      <c r="E219" s="4">
        <f>SUMIFS(schedule[Equipment CPP], schedule[Start Date],"&lt;="&amp;day_cash_behind[[#This Row],[Date]]-$E$2, schedule[Finish Date],"&gt;="&amp;day_cash_behind[[#This Row],[Date]]-$E$2)</f>
        <v>0</v>
      </c>
      <c r="F219" s="4">
        <f>SUMIFS(schedule[Sub CPP], schedule[Start Date],"&lt;="&amp;day_cash_behind[[#This Row],[Date]]-$F$2, schedule[Finish Date],"&gt;="&amp;day_cash_behind[[#This Row],[Date]]-$F$2)</f>
        <v>13749.119718309857</v>
      </c>
      <c r="G219" s="3">
        <f>SUMIFS(schedule[Other CPP], schedule[Start Date],"&lt;="&amp;day_cash_behind[[#This Row],[Date]]-$G$2, schedule[Finish Date],"&gt;="&amp;day_cash_behind[[#This Row],[Date]]-$G$2)</f>
        <v>0</v>
      </c>
      <c r="H219" s="3">
        <f>SUM(day_cash_behind[[#This Row],[Labor Cost]:[Other Cost]])</f>
        <v>13749.119718309857</v>
      </c>
      <c r="I219" s="3">
        <f>SUMIFS(schedule[Revenue per Day], schedule[Start Date],"&lt;="&amp;day_cash_behind[[#This Row],[Date]]-$I$2, schedule[Finish Date],"&gt;="&amp;day_cash_behind[[#This Row],[Date]]-$I$2)</f>
        <v>8346.2884223580477</v>
      </c>
      <c r="J219" s="3">
        <f>SUM(day_cash_behind[[#Headers],[Labor Cost]]:day_cash_behind[[#This Row],[Labor Cost]])</f>
        <v>594999.99999999988</v>
      </c>
      <c r="K219" s="3">
        <f>SUM(day_cash_behind[[#Headers],[Material Cost]]:day_cash_behind[[#This Row],[Material Cost]])</f>
        <v>261249.99999999951</v>
      </c>
      <c r="L219" s="3">
        <f>SUM(day_cash_behind[[#Headers],[Equipment Cost]]:day_cash_behind[[#This Row],[Equipment Cost]])</f>
        <v>87999.999999999796</v>
      </c>
      <c r="M219" s="3">
        <f>SUM(day_cash_behind[[#Headers],[Sub Cost]]:day_cash_behind[[#This Row],[Sub Cost]])</f>
        <v>716693.66197182983</v>
      </c>
      <c r="N219" s="3">
        <f>SUM(day_cash_behind[[#Headers],[Other Cost]]:day_cash_behind[[#This Row],[Other Cost]])</f>
        <v>58499.999999999847</v>
      </c>
      <c r="O219" s="3">
        <f>SUM(day_cash_behind[[#This Row],[Cumulative Labor]:[Cumulative Other]])</f>
        <v>1719443.6619718287</v>
      </c>
      <c r="P219" s="3">
        <f>SUM(day_cash_behind[[#Headers],[Revenue]]:day_cash_behind[[#This Row],[Revenue]])</f>
        <v>1613279.8283727511</v>
      </c>
    </row>
    <row r="220" spans="2:16" x14ac:dyDescent="0.45">
      <c r="B220" s="1">
        <v>46603</v>
      </c>
      <c r="C220" s="4">
        <f>SUMIFS(schedule[Labor CPP], schedule[Start Date],"&lt;="&amp;day_cash_behind[[#This Row],[Date]], schedule[Finish Date],"&gt;="&amp;day_cash_behind[[#This Row],[Date]])</f>
        <v>0</v>
      </c>
      <c r="D220" s="4">
        <f>SUMIFS(schedule[Material CPP], schedule[Start Date],"&lt;="&amp;day_cash_behind[[#This Row],[Date]]-$D$2, schedule[Finish Date],"&gt;="&amp;day_cash_behind[[#This Row],[Date]]-$D$2)</f>
        <v>0</v>
      </c>
      <c r="E220" s="4">
        <f>SUMIFS(schedule[Equipment CPP], schedule[Start Date],"&lt;="&amp;day_cash_behind[[#This Row],[Date]]-$E$2, schedule[Finish Date],"&gt;="&amp;day_cash_behind[[#This Row],[Date]]-$E$2)</f>
        <v>0</v>
      </c>
      <c r="F220" s="4">
        <f>SUMIFS(schedule[Sub CPP], schedule[Start Date],"&lt;="&amp;day_cash_behind[[#This Row],[Date]]-$F$2, schedule[Finish Date],"&gt;="&amp;day_cash_behind[[#This Row],[Date]]-$F$2)</f>
        <v>1936.6197183098591</v>
      </c>
      <c r="G220" s="3">
        <f>SUMIFS(schedule[Other CPP], schedule[Start Date],"&lt;="&amp;day_cash_behind[[#This Row],[Date]]-$G$2, schedule[Finish Date],"&gt;="&amp;day_cash_behind[[#This Row],[Date]]-$G$2)</f>
        <v>0</v>
      </c>
      <c r="H220" s="3">
        <f>SUM(day_cash_behind[[#This Row],[Labor Cost]:[Other Cost]])</f>
        <v>1936.6197183098591</v>
      </c>
      <c r="I220" s="3">
        <f>SUMIFS(schedule[Revenue per Day], schedule[Start Date],"&lt;="&amp;day_cash_behind[[#This Row],[Date]]-$I$2, schedule[Finish Date],"&gt;="&amp;day_cash_behind[[#This Row],[Date]]-$I$2)</f>
        <v>8346.2884223580477</v>
      </c>
      <c r="J220" s="3">
        <f>SUM(day_cash_behind[[#Headers],[Labor Cost]]:day_cash_behind[[#This Row],[Labor Cost]])</f>
        <v>594999.99999999988</v>
      </c>
      <c r="K220" s="3">
        <f>SUM(day_cash_behind[[#Headers],[Material Cost]]:day_cash_behind[[#This Row],[Material Cost]])</f>
        <v>261249.99999999951</v>
      </c>
      <c r="L220" s="3">
        <f>SUM(day_cash_behind[[#Headers],[Equipment Cost]]:day_cash_behind[[#This Row],[Equipment Cost]])</f>
        <v>87999.999999999796</v>
      </c>
      <c r="M220" s="3">
        <f>SUM(day_cash_behind[[#Headers],[Sub Cost]]:day_cash_behind[[#This Row],[Sub Cost]])</f>
        <v>718630.28169013967</v>
      </c>
      <c r="N220" s="3">
        <f>SUM(day_cash_behind[[#Headers],[Other Cost]]:day_cash_behind[[#This Row],[Other Cost]])</f>
        <v>58499.999999999847</v>
      </c>
      <c r="O220" s="3">
        <f>SUM(day_cash_behind[[#This Row],[Cumulative Labor]:[Cumulative Other]])</f>
        <v>1721380.2816901386</v>
      </c>
      <c r="P220" s="3">
        <f>SUM(day_cash_behind[[#Headers],[Revenue]]:day_cash_behind[[#This Row],[Revenue]])</f>
        <v>1621626.1167951091</v>
      </c>
    </row>
    <row r="221" spans="2:16" x14ac:dyDescent="0.45">
      <c r="B221" s="1">
        <v>46604</v>
      </c>
      <c r="C221" s="4">
        <f>SUMIFS(schedule[Labor CPP], schedule[Start Date],"&lt;="&amp;day_cash_behind[[#This Row],[Date]], schedule[Finish Date],"&gt;="&amp;day_cash_behind[[#This Row],[Date]])</f>
        <v>0</v>
      </c>
      <c r="D221" s="4">
        <f>SUMIFS(schedule[Material CPP], schedule[Start Date],"&lt;="&amp;day_cash_behind[[#This Row],[Date]]-$D$2, schedule[Finish Date],"&gt;="&amp;day_cash_behind[[#This Row],[Date]]-$D$2)</f>
        <v>0</v>
      </c>
      <c r="E221" s="4">
        <f>SUMIFS(schedule[Equipment CPP], schedule[Start Date],"&lt;="&amp;day_cash_behind[[#This Row],[Date]]-$E$2, schedule[Finish Date],"&gt;="&amp;day_cash_behind[[#This Row],[Date]]-$E$2)</f>
        <v>0</v>
      </c>
      <c r="F221" s="4">
        <f>SUMIFS(schedule[Sub CPP], schedule[Start Date],"&lt;="&amp;day_cash_behind[[#This Row],[Date]]-$F$2, schedule[Finish Date],"&gt;="&amp;day_cash_behind[[#This Row],[Date]]-$F$2)</f>
        <v>1936.6197183098591</v>
      </c>
      <c r="G221" s="3">
        <f>SUMIFS(schedule[Other CPP], schedule[Start Date],"&lt;="&amp;day_cash_behind[[#This Row],[Date]]-$G$2, schedule[Finish Date],"&gt;="&amp;day_cash_behind[[#This Row],[Date]]-$G$2)</f>
        <v>0</v>
      </c>
      <c r="H221" s="3">
        <f>SUM(day_cash_behind[[#This Row],[Labor Cost]:[Other Cost]])</f>
        <v>1936.6197183098591</v>
      </c>
      <c r="I221" s="3">
        <f>SUMIFS(schedule[Revenue per Day], schedule[Start Date],"&lt;="&amp;day_cash_behind[[#This Row],[Date]]-$I$2, schedule[Finish Date],"&gt;="&amp;day_cash_behind[[#This Row],[Date]]-$I$2)</f>
        <v>8346.2884223580477</v>
      </c>
      <c r="J221" s="3">
        <f>SUM(day_cash_behind[[#Headers],[Labor Cost]]:day_cash_behind[[#This Row],[Labor Cost]])</f>
        <v>594999.99999999988</v>
      </c>
      <c r="K221" s="3">
        <f>SUM(day_cash_behind[[#Headers],[Material Cost]]:day_cash_behind[[#This Row],[Material Cost]])</f>
        <v>261249.99999999951</v>
      </c>
      <c r="L221" s="3">
        <f>SUM(day_cash_behind[[#Headers],[Equipment Cost]]:day_cash_behind[[#This Row],[Equipment Cost]])</f>
        <v>87999.999999999796</v>
      </c>
      <c r="M221" s="3">
        <f>SUM(day_cash_behind[[#Headers],[Sub Cost]]:day_cash_behind[[#This Row],[Sub Cost]])</f>
        <v>720566.90140844951</v>
      </c>
      <c r="N221" s="3">
        <f>SUM(day_cash_behind[[#Headers],[Other Cost]]:day_cash_behind[[#This Row],[Other Cost]])</f>
        <v>58499.999999999847</v>
      </c>
      <c r="O221" s="3">
        <f>SUM(day_cash_behind[[#This Row],[Cumulative Labor]:[Cumulative Other]])</f>
        <v>1723316.9014084486</v>
      </c>
      <c r="P221" s="3">
        <f>SUM(day_cash_behind[[#Headers],[Revenue]]:day_cash_behind[[#This Row],[Revenue]])</f>
        <v>1629972.4052174671</v>
      </c>
    </row>
    <row r="222" spans="2:16" x14ac:dyDescent="0.45">
      <c r="B222" s="1">
        <v>46605</v>
      </c>
      <c r="C222" s="4">
        <f>SUMIFS(schedule[Labor CPP], schedule[Start Date],"&lt;="&amp;day_cash_behind[[#This Row],[Date]], schedule[Finish Date],"&gt;="&amp;day_cash_behind[[#This Row],[Date]])</f>
        <v>0</v>
      </c>
      <c r="D222" s="4">
        <f>SUMIFS(schedule[Material CPP], schedule[Start Date],"&lt;="&amp;day_cash_behind[[#This Row],[Date]]-$D$2, schedule[Finish Date],"&gt;="&amp;day_cash_behind[[#This Row],[Date]]-$D$2)</f>
        <v>0</v>
      </c>
      <c r="E222" s="4">
        <f>SUMIFS(schedule[Equipment CPP], schedule[Start Date],"&lt;="&amp;day_cash_behind[[#This Row],[Date]]-$E$2, schedule[Finish Date],"&gt;="&amp;day_cash_behind[[#This Row],[Date]]-$E$2)</f>
        <v>0</v>
      </c>
      <c r="F222" s="4">
        <f>SUMIFS(schedule[Sub CPP], schedule[Start Date],"&lt;="&amp;day_cash_behind[[#This Row],[Date]]-$F$2, schedule[Finish Date],"&gt;="&amp;day_cash_behind[[#This Row],[Date]]-$F$2)</f>
        <v>1936.6197183098591</v>
      </c>
      <c r="G222" s="3">
        <f>SUMIFS(schedule[Other CPP], schedule[Start Date],"&lt;="&amp;day_cash_behind[[#This Row],[Date]]-$G$2, schedule[Finish Date],"&gt;="&amp;day_cash_behind[[#This Row],[Date]]-$G$2)</f>
        <v>0</v>
      </c>
      <c r="H222" s="3">
        <f>SUM(day_cash_behind[[#This Row],[Labor Cost]:[Other Cost]])</f>
        <v>1936.6197183098591</v>
      </c>
      <c r="I222" s="3">
        <f>SUMIFS(schedule[Revenue per Day], schedule[Start Date],"&lt;="&amp;day_cash_behind[[#This Row],[Date]]-$I$2, schedule[Finish Date],"&gt;="&amp;day_cash_behind[[#This Row],[Date]]-$I$2)</f>
        <v>8346.2884223580477</v>
      </c>
      <c r="J222" s="3">
        <f>SUM(day_cash_behind[[#Headers],[Labor Cost]]:day_cash_behind[[#This Row],[Labor Cost]])</f>
        <v>594999.99999999988</v>
      </c>
      <c r="K222" s="3">
        <f>SUM(day_cash_behind[[#Headers],[Material Cost]]:day_cash_behind[[#This Row],[Material Cost]])</f>
        <v>261249.99999999951</v>
      </c>
      <c r="L222" s="3">
        <f>SUM(day_cash_behind[[#Headers],[Equipment Cost]]:day_cash_behind[[#This Row],[Equipment Cost]])</f>
        <v>87999.999999999796</v>
      </c>
      <c r="M222" s="3">
        <f>SUM(day_cash_behind[[#Headers],[Sub Cost]]:day_cash_behind[[#This Row],[Sub Cost]])</f>
        <v>722503.52112675935</v>
      </c>
      <c r="N222" s="3">
        <f>SUM(day_cash_behind[[#Headers],[Other Cost]]:day_cash_behind[[#This Row],[Other Cost]])</f>
        <v>58499.999999999847</v>
      </c>
      <c r="O222" s="3">
        <f>SUM(day_cash_behind[[#This Row],[Cumulative Labor]:[Cumulative Other]])</f>
        <v>1725253.5211267583</v>
      </c>
      <c r="P222" s="3">
        <f>SUM(day_cash_behind[[#Headers],[Revenue]]:day_cash_behind[[#This Row],[Revenue]])</f>
        <v>1638318.6936398251</v>
      </c>
    </row>
    <row r="223" spans="2:16" x14ac:dyDescent="0.45">
      <c r="B223" s="1">
        <v>46606</v>
      </c>
      <c r="C223" s="4">
        <f>SUMIFS(schedule[Labor CPP], schedule[Start Date],"&lt;="&amp;day_cash_behind[[#This Row],[Date]], schedule[Finish Date],"&gt;="&amp;day_cash_behind[[#This Row],[Date]])</f>
        <v>0</v>
      </c>
      <c r="D223" s="4">
        <f>SUMIFS(schedule[Material CPP], schedule[Start Date],"&lt;="&amp;day_cash_behind[[#This Row],[Date]]-$D$2, schedule[Finish Date],"&gt;="&amp;day_cash_behind[[#This Row],[Date]]-$D$2)</f>
        <v>0</v>
      </c>
      <c r="E223" s="4">
        <f>SUMIFS(schedule[Equipment CPP], schedule[Start Date],"&lt;="&amp;day_cash_behind[[#This Row],[Date]]-$E$2, schedule[Finish Date],"&gt;="&amp;day_cash_behind[[#This Row],[Date]]-$E$2)</f>
        <v>0</v>
      </c>
      <c r="F223" s="4">
        <f>SUMIFS(schedule[Sub CPP], schedule[Start Date],"&lt;="&amp;day_cash_behind[[#This Row],[Date]]-$F$2, schedule[Finish Date],"&gt;="&amp;day_cash_behind[[#This Row],[Date]]-$F$2)</f>
        <v>1936.6197183098591</v>
      </c>
      <c r="G223" s="3">
        <f>SUMIFS(schedule[Other CPP], schedule[Start Date],"&lt;="&amp;day_cash_behind[[#This Row],[Date]]-$G$2, schedule[Finish Date],"&gt;="&amp;day_cash_behind[[#This Row],[Date]]-$G$2)</f>
        <v>0</v>
      </c>
      <c r="H223" s="3">
        <f>SUM(day_cash_behind[[#This Row],[Labor Cost]:[Other Cost]])</f>
        <v>1936.6197183098591</v>
      </c>
      <c r="I223" s="3">
        <f>SUMIFS(schedule[Revenue per Day], schedule[Start Date],"&lt;="&amp;day_cash_behind[[#This Row],[Date]]-$I$2, schedule[Finish Date],"&gt;="&amp;day_cash_behind[[#This Row],[Date]]-$I$2)</f>
        <v>8346.2884223580477</v>
      </c>
      <c r="J223" s="3">
        <f>SUM(day_cash_behind[[#Headers],[Labor Cost]]:day_cash_behind[[#This Row],[Labor Cost]])</f>
        <v>594999.99999999988</v>
      </c>
      <c r="K223" s="3">
        <f>SUM(day_cash_behind[[#Headers],[Material Cost]]:day_cash_behind[[#This Row],[Material Cost]])</f>
        <v>261249.99999999951</v>
      </c>
      <c r="L223" s="3">
        <f>SUM(day_cash_behind[[#Headers],[Equipment Cost]]:day_cash_behind[[#This Row],[Equipment Cost]])</f>
        <v>87999.999999999796</v>
      </c>
      <c r="M223" s="3">
        <f>SUM(day_cash_behind[[#Headers],[Sub Cost]]:day_cash_behind[[#This Row],[Sub Cost]])</f>
        <v>724440.1408450692</v>
      </c>
      <c r="N223" s="3">
        <f>SUM(day_cash_behind[[#Headers],[Other Cost]]:day_cash_behind[[#This Row],[Other Cost]])</f>
        <v>58499.999999999847</v>
      </c>
      <c r="O223" s="3">
        <f>SUM(day_cash_behind[[#This Row],[Cumulative Labor]:[Cumulative Other]])</f>
        <v>1727190.140845068</v>
      </c>
      <c r="P223" s="3">
        <f>SUM(day_cash_behind[[#Headers],[Revenue]]:day_cash_behind[[#This Row],[Revenue]])</f>
        <v>1646664.9820621831</v>
      </c>
    </row>
    <row r="224" spans="2:16" x14ac:dyDescent="0.45">
      <c r="B224" s="1">
        <v>46607</v>
      </c>
      <c r="C224" s="4">
        <f>SUMIFS(schedule[Labor CPP], schedule[Start Date],"&lt;="&amp;day_cash_behind[[#This Row],[Date]], schedule[Finish Date],"&gt;="&amp;day_cash_behind[[#This Row],[Date]])</f>
        <v>0</v>
      </c>
      <c r="D224" s="4">
        <f>SUMIFS(schedule[Material CPP], schedule[Start Date],"&lt;="&amp;day_cash_behind[[#This Row],[Date]]-$D$2, schedule[Finish Date],"&gt;="&amp;day_cash_behind[[#This Row],[Date]]-$D$2)</f>
        <v>0</v>
      </c>
      <c r="E224" s="4">
        <f>SUMIFS(schedule[Equipment CPP], schedule[Start Date],"&lt;="&amp;day_cash_behind[[#This Row],[Date]]-$E$2, schedule[Finish Date],"&gt;="&amp;day_cash_behind[[#This Row],[Date]]-$E$2)</f>
        <v>0</v>
      </c>
      <c r="F224" s="4">
        <f>SUMIFS(schedule[Sub CPP], schedule[Start Date],"&lt;="&amp;day_cash_behind[[#This Row],[Date]]-$F$2, schedule[Finish Date],"&gt;="&amp;day_cash_behind[[#This Row],[Date]]-$F$2)</f>
        <v>1936.6197183098591</v>
      </c>
      <c r="G224" s="3">
        <f>SUMIFS(schedule[Other CPP], schedule[Start Date],"&lt;="&amp;day_cash_behind[[#This Row],[Date]]-$G$2, schedule[Finish Date],"&gt;="&amp;day_cash_behind[[#This Row],[Date]]-$G$2)</f>
        <v>0</v>
      </c>
      <c r="H224" s="3">
        <f>SUM(day_cash_behind[[#This Row],[Labor Cost]:[Other Cost]])</f>
        <v>1936.6197183098591</v>
      </c>
      <c r="I224" s="3">
        <f>SUMIFS(schedule[Revenue per Day], schedule[Start Date],"&lt;="&amp;day_cash_behind[[#This Row],[Date]]-$I$2, schedule[Finish Date],"&gt;="&amp;day_cash_behind[[#This Row],[Date]]-$I$2)</f>
        <v>8346.2884223580477</v>
      </c>
      <c r="J224" s="3">
        <f>SUM(day_cash_behind[[#Headers],[Labor Cost]]:day_cash_behind[[#This Row],[Labor Cost]])</f>
        <v>594999.99999999988</v>
      </c>
      <c r="K224" s="3">
        <f>SUM(day_cash_behind[[#Headers],[Material Cost]]:day_cash_behind[[#This Row],[Material Cost]])</f>
        <v>261249.99999999951</v>
      </c>
      <c r="L224" s="3">
        <f>SUM(day_cash_behind[[#Headers],[Equipment Cost]]:day_cash_behind[[#This Row],[Equipment Cost]])</f>
        <v>87999.999999999796</v>
      </c>
      <c r="M224" s="3">
        <f>SUM(day_cash_behind[[#Headers],[Sub Cost]]:day_cash_behind[[#This Row],[Sub Cost]])</f>
        <v>726376.76056337904</v>
      </c>
      <c r="N224" s="3">
        <f>SUM(day_cash_behind[[#Headers],[Other Cost]]:day_cash_behind[[#This Row],[Other Cost]])</f>
        <v>58499.999999999847</v>
      </c>
      <c r="O224" s="3">
        <f>SUM(day_cash_behind[[#This Row],[Cumulative Labor]:[Cumulative Other]])</f>
        <v>1729126.760563378</v>
      </c>
      <c r="P224" s="3">
        <f>SUM(day_cash_behind[[#Headers],[Revenue]]:day_cash_behind[[#This Row],[Revenue]])</f>
        <v>1655011.2704845411</v>
      </c>
    </row>
    <row r="225" spans="2:16" x14ac:dyDescent="0.45">
      <c r="B225" s="1">
        <v>46608</v>
      </c>
      <c r="C225" s="4">
        <f>SUMIFS(schedule[Labor CPP], schedule[Start Date],"&lt;="&amp;day_cash_behind[[#This Row],[Date]], schedule[Finish Date],"&gt;="&amp;day_cash_behind[[#This Row],[Date]])</f>
        <v>0</v>
      </c>
      <c r="D225" s="4">
        <f>SUMIFS(schedule[Material CPP], schedule[Start Date],"&lt;="&amp;day_cash_behind[[#This Row],[Date]]-$D$2, schedule[Finish Date],"&gt;="&amp;day_cash_behind[[#This Row],[Date]]-$D$2)</f>
        <v>0</v>
      </c>
      <c r="E225" s="4">
        <f>SUMIFS(schedule[Equipment CPP], schedule[Start Date],"&lt;="&amp;day_cash_behind[[#This Row],[Date]]-$E$2, schedule[Finish Date],"&gt;="&amp;day_cash_behind[[#This Row],[Date]]-$E$2)</f>
        <v>0</v>
      </c>
      <c r="F225" s="4">
        <f>SUMIFS(schedule[Sub CPP], schedule[Start Date],"&lt;="&amp;day_cash_behind[[#This Row],[Date]]-$F$2, schedule[Finish Date],"&gt;="&amp;day_cash_behind[[#This Row],[Date]]-$F$2)</f>
        <v>1936.6197183098591</v>
      </c>
      <c r="G225" s="3">
        <f>SUMIFS(schedule[Other CPP], schedule[Start Date],"&lt;="&amp;day_cash_behind[[#This Row],[Date]]-$G$2, schedule[Finish Date],"&gt;="&amp;day_cash_behind[[#This Row],[Date]]-$G$2)</f>
        <v>0</v>
      </c>
      <c r="H225" s="3">
        <f>SUM(day_cash_behind[[#This Row],[Labor Cost]:[Other Cost]])</f>
        <v>1936.6197183098591</v>
      </c>
      <c r="I225" s="3">
        <f>SUMIFS(schedule[Revenue per Day], schedule[Start Date],"&lt;="&amp;day_cash_behind[[#This Row],[Date]]-$I$2, schedule[Finish Date],"&gt;="&amp;day_cash_behind[[#This Row],[Date]]-$I$2)</f>
        <v>8346.2884223580477</v>
      </c>
      <c r="J225" s="3">
        <f>SUM(day_cash_behind[[#Headers],[Labor Cost]]:day_cash_behind[[#This Row],[Labor Cost]])</f>
        <v>594999.99999999988</v>
      </c>
      <c r="K225" s="3">
        <f>SUM(day_cash_behind[[#Headers],[Material Cost]]:day_cash_behind[[#This Row],[Material Cost]])</f>
        <v>261249.99999999951</v>
      </c>
      <c r="L225" s="3">
        <f>SUM(day_cash_behind[[#Headers],[Equipment Cost]]:day_cash_behind[[#This Row],[Equipment Cost]])</f>
        <v>87999.999999999796</v>
      </c>
      <c r="M225" s="3">
        <f>SUM(day_cash_behind[[#Headers],[Sub Cost]]:day_cash_behind[[#This Row],[Sub Cost]])</f>
        <v>728313.38028168888</v>
      </c>
      <c r="N225" s="3">
        <f>SUM(day_cash_behind[[#Headers],[Other Cost]]:day_cash_behind[[#This Row],[Other Cost]])</f>
        <v>58499.999999999847</v>
      </c>
      <c r="O225" s="3">
        <f>SUM(day_cash_behind[[#This Row],[Cumulative Labor]:[Cumulative Other]])</f>
        <v>1731063.3802816879</v>
      </c>
      <c r="P225" s="3">
        <f>SUM(day_cash_behind[[#Headers],[Revenue]]:day_cash_behind[[#This Row],[Revenue]])</f>
        <v>1663357.5589068991</v>
      </c>
    </row>
    <row r="226" spans="2:16" x14ac:dyDescent="0.45">
      <c r="B226" s="1">
        <v>46609</v>
      </c>
      <c r="C226" s="4">
        <f>SUMIFS(schedule[Labor CPP], schedule[Start Date],"&lt;="&amp;day_cash_behind[[#This Row],[Date]], schedule[Finish Date],"&gt;="&amp;day_cash_behind[[#This Row],[Date]])</f>
        <v>0</v>
      </c>
      <c r="D226" s="4">
        <f>SUMIFS(schedule[Material CPP], schedule[Start Date],"&lt;="&amp;day_cash_behind[[#This Row],[Date]]-$D$2, schedule[Finish Date],"&gt;="&amp;day_cash_behind[[#This Row],[Date]]-$D$2)</f>
        <v>0</v>
      </c>
      <c r="E226" s="4">
        <f>SUMIFS(schedule[Equipment CPP], schedule[Start Date],"&lt;="&amp;day_cash_behind[[#This Row],[Date]]-$E$2, schedule[Finish Date],"&gt;="&amp;day_cash_behind[[#This Row],[Date]]-$E$2)</f>
        <v>0</v>
      </c>
      <c r="F226" s="4">
        <f>SUMIFS(schedule[Sub CPP], schedule[Start Date],"&lt;="&amp;day_cash_behind[[#This Row],[Date]]-$F$2, schedule[Finish Date],"&gt;="&amp;day_cash_behind[[#This Row],[Date]]-$F$2)</f>
        <v>1936.6197183098591</v>
      </c>
      <c r="G226" s="3">
        <f>SUMIFS(schedule[Other CPP], schedule[Start Date],"&lt;="&amp;day_cash_behind[[#This Row],[Date]]-$G$2, schedule[Finish Date],"&gt;="&amp;day_cash_behind[[#This Row],[Date]]-$G$2)</f>
        <v>0</v>
      </c>
      <c r="H226" s="3">
        <f>SUM(day_cash_behind[[#This Row],[Labor Cost]:[Other Cost]])</f>
        <v>1936.6197183098591</v>
      </c>
      <c r="I226" s="3">
        <f>SUMIFS(schedule[Revenue per Day], schedule[Start Date],"&lt;="&amp;day_cash_behind[[#This Row],[Date]]-$I$2, schedule[Finish Date],"&gt;="&amp;day_cash_behind[[#This Row],[Date]]-$I$2)</f>
        <v>8346.2884223580477</v>
      </c>
      <c r="J226" s="3">
        <f>SUM(day_cash_behind[[#Headers],[Labor Cost]]:day_cash_behind[[#This Row],[Labor Cost]])</f>
        <v>594999.99999999988</v>
      </c>
      <c r="K226" s="3">
        <f>SUM(day_cash_behind[[#Headers],[Material Cost]]:day_cash_behind[[#This Row],[Material Cost]])</f>
        <v>261249.99999999951</v>
      </c>
      <c r="L226" s="3">
        <f>SUM(day_cash_behind[[#Headers],[Equipment Cost]]:day_cash_behind[[#This Row],[Equipment Cost]])</f>
        <v>87999.999999999796</v>
      </c>
      <c r="M226" s="3">
        <f>SUM(day_cash_behind[[#Headers],[Sub Cost]]:day_cash_behind[[#This Row],[Sub Cost]])</f>
        <v>730249.99999999872</v>
      </c>
      <c r="N226" s="3">
        <f>SUM(day_cash_behind[[#Headers],[Other Cost]]:day_cash_behind[[#This Row],[Other Cost]])</f>
        <v>58499.999999999847</v>
      </c>
      <c r="O226" s="3">
        <f>SUM(day_cash_behind[[#This Row],[Cumulative Labor]:[Cumulative Other]])</f>
        <v>1732999.9999999977</v>
      </c>
      <c r="P226" s="3">
        <f>SUM(day_cash_behind[[#Headers],[Revenue]]:day_cash_behind[[#This Row],[Revenue]])</f>
        <v>1671703.8473292571</v>
      </c>
    </row>
    <row r="227" spans="2:16" x14ac:dyDescent="0.45">
      <c r="B227" s="1">
        <v>46610</v>
      </c>
      <c r="C227" s="4">
        <f>SUMIFS(schedule[Labor CPP], schedule[Start Date],"&lt;="&amp;day_cash_behind[[#This Row],[Date]], schedule[Finish Date],"&gt;="&amp;day_cash_behind[[#This Row],[Date]])</f>
        <v>0</v>
      </c>
      <c r="D227" s="4">
        <f>SUMIFS(schedule[Material CPP], schedule[Start Date],"&lt;="&amp;day_cash_behind[[#This Row],[Date]]-$D$2, schedule[Finish Date],"&gt;="&amp;day_cash_behind[[#This Row],[Date]]-$D$2)</f>
        <v>0</v>
      </c>
      <c r="E227" s="4">
        <f>SUMIFS(schedule[Equipment CPP], schedule[Start Date],"&lt;="&amp;day_cash_behind[[#This Row],[Date]]-$E$2, schedule[Finish Date],"&gt;="&amp;day_cash_behind[[#This Row],[Date]]-$E$2)</f>
        <v>0</v>
      </c>
      <c r="F227" s="4">
        <f>SUMIFS(schedule[Sub CPP], schedule[Start Date],"&lt;="&amp;day_cash_behind[[#This Row],[Date]]-$F$2, schedule[Finish Date],"&gt;="&amp;day_cash_behind[[#This Row],[Date]]-$F$2)</f>
        <v>0</v>
      </c>
      <c r="G227" s="3">
        <f>SUMIFS(schedule[Other CPP], schedule[Start Date],"&lt;="&amp;day_cash_behind[[#This Row],[Date]]-$G$2, schedule[Finish Date],"&gt;="&amp;day_cash_behind[[#This Row],[Date]]-$G$2)</f>
        <v>0</v>
      </c>
      <c r="H227" s="3">
        <f>SUM(day_cash_behind[[#This Row],[Labor Cost]:[Other Cost]])</f>
        <v>0</v>
      </c>
      <c r="I227" s="3">
        <f>SUMIFS(schedule[Revenue per Day], schedule[Start Date],"&lt;="&amp;day_cash_behind[[#This Row],[Date]]-$I$2, schedule[Finish Date],"&gt;="&amp;day_cash_behind[[#This Row],[Date]]-$I$2)</f>
        <v>8346.2884223580477</v>
      </c>
      <c r="J227" s="3">
        <f>SUM(day_cash_behind[[#Headers],[Labor Cost]]:day_cash_behind[[#This Row],[Labor Cost]])</f>
        <v>594999.99999999988</v>
      </c>
      <c r="K227" s="3">
        <f>SUM(day_cash_behind[[#Headers],[Material Cost]]:day_cash_behind[[#This Row],[Material Cost]])</f>
        <v>261249.99999999951</v>
      </c>
      <c r="L227" s="3">
        <f>SUM(day_cash_behind[[#Headers],[Equipment Cost]]:day_cash_behind[[#This Row],[Equipment Cost]])</f>
        <v>87999.999999999796</v>
      </c>
      <c r="M227" s="3">
        <f>SUM(day_cash_behind[[#Headers],[Sub Cost]]:day_cash_behind[[#This Row],[Sub Cost]])</f>
        <v>730249.99999999872</v>
      </c>
      <c r="N227" s="3">
        <f>SUM(day_cash_behind[[#Headers],[Other Cost]]:day_cash_behind[[#This Row],[Other Cost]])</f>
        <v>58499.999999999847</v>
      </c>
      <c r="O227" s="3">
        <f>SUM(day_cash_behind[[#This Row],[Cumulative Labor]:[Cumulative Other]])</f>
        <v>1732999.9999999977</v>
      </c>
      <c r="P227" s="3">
        <f>SUM(day_cash_behind[[#Headers],[Revenue]]:day_cash_behind[[#This Row],[Revenue]])</f>
        <v>1680050.135751615</v>
      </c>
    </row>
    <row r="228" spans="2:16" x14ac:dyDescent="0.45">
      <c r="B228" s="1">
        <v>46611</v>
      </c>
      <c r="C228" s="4">
        <f>SUMIFS(schedule[Labor CPP], schedule[Start Date],"&lt;="&amp;day_cash_behind[[#This Row],[Date]], schedule[Finish Date],"&gt;="&amp;day_cash_behind[[#This Row],[Date]])</f>
        <v>0</v>
      </c>
      <c r="D228" s="4">
        <f>SUMIFS(schedule[Material CPP], schedule[Start Date],"&lt;="&amp;day_cash_behind[[#This Row],[Date]]-$D$2, schedule[Finish Date],"&gt;="&amp;day_cash_behind[[#This Row],[Date]]-$D$2)</f>
        <v>0</v>
      </c>
      <c r="E228" s="4">
        <f>SUMIFS(schedule[Equipment CPP], schedule[Start Date],"&lt;="&amp;day_cash_behind[[#This Row],[Date]]-$E$2, schedule[Finish Date],"&gt;="&amp;day_cash_behind[[#This Row],[Date]]-$E$2)</f>
        <v>0</v>
      </c>
      <c r="F228" s="4">
        <f>SUMIFS(schedule[Sub CPP], schedule[Start Date],"&lt;="&amp;day_cash_behind[[#This Row],[Date]]-$F$2, schedule[Finish Date],"&gt;="&amp;day_cash_behind[[#This Row],[Date]]-$F$2)</f>
        <v>0</v>
      </c>
      <c r="G228" s="3">
        <f>SUMIFS(schedule[Other CPP], schedule[Start Date],"&lt;="&amp;day_cash_behind[[#This Row],[Date]]-$G$2, schedule[Finish Date],"&gt;="&amp;day_cash_behind[[#This Row],[Date]]-$G$2)</f>
        <v>0</v>
      </c>
      <c r="H228" s="3">
        <f>SUM(day_cash_behind[[#This Row],[Labor Cost]:[Other Cost]])</f>
        <v>0</v>
      </c>
      <c r="I228" s="3">
        <f>SUMIFS(schedule[Revenue per Day], schedule[Start Date],"&lt;="&amp;day_cash_behind[[#This Row],[Date]]-$I$2, schedule[Finish Date],"&gt;="&amp;day_cash_behind[[#This Row],[Date]]-$I$2)</f>
        <v>8346.2884223580477</v>
      </c>
      <c r="J228" s="3">
        <f>SUM(day_cash_behind[[#Headers],[Labor Cost]]:day_cash_behind[[#This Row],[Labor Cost]])</f>
        <v>594999.99999999988</v>
      </c>
      <c r="K228" s="3">
        <f>SUM(day_cash_behind[[#Headers],[Material Cost]]:day_cash_behind[[#This Row],[Material Cost]])</f>
        <v>261249.99999999951</v>
      </c>
      <c r="L228" s="3">
        <f>SUM(day_cash_behind[[#Headers],[Equipment Cost]]:day_cash_behind[[#This Row],[Equipment Cost]])</f>
        <v>87999.999999999796</v>
      </c>
      <c r="M228" s="3">
        <f>SUM(day_cash_behind[[#Headers],[Sub Cost]]:day_cash_behind[[#This Row],[Sub Cost]])</f>
        <v>730249.99999999872</v>
      </c>
      <c r="N228" s="3">
        <f>SUM(day_cash_behind[[#Headers],[Other Cost]]:day_cash_behind[[#This Row],[Other Cost]])</f>
        <v>58499.999999999847</v>
      </c>
      <c r="O228" s="3">
        <f>SUM(day_cash_behind[[#This Row],[Cumulative Labor]:[Cumulative Other]])</f>
        <v>1732999.9999999977</v>
      </c>
      <c r="P228" s="3">
        <f>SUM(day_cash_behind[[#Headers],[Revenue]]:day_cash_behind[[#This Row],[Revenue]])</f>
        <v>1688396.424173973</v>
      </c>
    </row>
    <row r="229" spans="2:16" x14ac:dyDescent="0.45">
      <c r="B229" s="1">
        <v>46612</v>
      </c>
      <c r="C229" s="4">
        <f>SUMIFS(schedule[Labor CPP], schedule[Start Date],"&lt;="&amp;day_cash_behind[[#This Row],[Date]], schedule[Finish Date],"&gt;="&amp;day_cash_behind[[#This Row],[Date]])</f>
        <v>0</v>
      </c>
      <c r="D229" s="4">
        <f>SUMIFS(schedule[Material CPP], schedule[Start Date],"&lt;="&amp;day_cash_behind[[#This Row],[Date]]-$D$2, schedule[Finish Date],"&gt;="&amp;day_cash_behind[[#This Row],[Date]]-$D$2)</f>
        <v>0</v>
      </c>
      <c r="E229" s="4">
        <f>SUMIFS(schedule[Equipment CPP], schedule[Start Date],"&lt;="&amp;day_cash_behind[[#This Row],[Date]]-$E$2, schedule[Finish Date],"&gt;="&amp;day_cash_behind[[#This Row],[Date]]-$E$2)</f>
        <v>0</v>
      </c>
      <c r="F229" s="4">
        <f>SUMIFS(schedule[Sub CPP], schedule[Start Date],"&lt;="&amp;day_cash_behind[[#This Row],[Date]]-$F$2, schedule[Finish Date],"&gt;="&amp;day_cash_behind[[#This Row],[Date]]-$F$2)</f>
        <v>0</v>
      </c>
      <c r="G229" s="3">
        <f>SUMIFS(schedule[Other CPP], schedule[Start Date],"&lt;="&amp;day_cash_behind[[#This Row],[Date]]-$G$2, schedule[Finish Date],"&gt;="&amp;day_cash_behind[[#This Row],[Date]]-$G$2)</f>
        <v>0</v>
      </c>
      <c r="H229" s="3">
        <f>SUM(day_cash_behind[[#This Row],[Labor Cost]:[Other Cost]])</f>
        <v>0</v>
      </c>
      <c r="I229" s="3">
        <f>SUMIFS(schedule[Revenue per Day], schedule[Start Date],"&lt;="&amp;day_cash_behind[[#This Row],[Date]]-$I$2, schedule[Finish Date],"&gt;="&amp;day_cash_behind[[#This Row],[Date]]-$I$2)</f>
        <v>8346.2884223580477</v>
      </c>
      <c r="J229" s="3">
        <f>SUM(day_cash_behind[[#Headers],[Labor Cost]]:day_cash_behind[[#This Row],[Labor Cost]])</f>
        <v>594999.99999999988</v>
      </c>
      <c r="K229" s="3">
        <f>SUM(day_cash_behind[[#Headers],[Material Cost]]:day_cash_behind[[#This Row],[Material Cost]])</f>
        <v>261249.99999999951</v>
      </c>
      <c r="L229" s="3">
        <f>SUM(day_cash_behind[[#Headers],[Equipment Cost]]:day_cash_behind[[#This Row],[Equipment Cost]])</f>
        <v>87999.999999999796</v>
      </c>
      <c r="M229" s="3">
        <f>SUM(day_cash_behind[[#Headers],[Sub Cost]]:day_cash_behind[[#This Row],[Sub Cost]])</f>
        <v>730249.99999999872</v>
      </c>
      <c r="N229" s="3">
        <f>SUM(day_cash_behind[[#Headers],[Other Cost]]:day_cash_behind[[#This Row],[Other Cost]])</f>
        <v>58499.999999999847</v>
      </c>
      <c r="O229" s="3">
        <f>SUM(day_cash_behind[[#This Row],[Cumulative Labor]:[Cumulative Other]])</f>
        <v>1732999.9999999977</v>
      </c>
      <c r="P229" s="3">
        <f>SUM(day_cash_behind[[#Headers],[Revenue]]:day_cash_behind[[#This Row],[Revenue]])</f>
        <v>1696742.712596331</v>
      </c>
    </row>
    <row r="230" spans="2:16" x14ac:dyDescent="0.45">
      <c r="B230" s="1">
        <v>46613</v>
      </c>
      <c r="C230" s="4">
        <f>SUMIFS(schedule[Labor CPP], schedule[Start Date],"&lt;="&amp;day_cash_behind[[#This Row],[Date]], schedule[Finish Date],"&gt;="&amp;day_cash_behind[[#This Row],[Date]])</f>
        <v>0</v>
      </c>
      <c r="D230" s="4">
        <f>SUMIFS(schedule[Material CPP], schedule[Start Date],"&lt;="&amp;day_cash_behind[[#This Row],[Date]]-$D$2, schedule[Finish Date],"&gt;="&amp;day_cash_behind[[#This Row],[Date]]-$D$2)</f>
        <v>0</v>
      </c>
      <c r="E230" s="4">
        <f>SUMIFS(schedule[Equipment CPP], schedule[Start Date],"&lt;="&amp;day_cash_behind[[#This Row],[Date]]-$E$2, schedule[Finish Date],"&gt;="&amp;day_cash_behind[[#This Row],[Date]]-$E$2)</f>
        <v>0</v>
      </c>
      <c r="F230" s="4">
        <f>SUMIFS(schedule[Sub CPP], schedule[Start Date],"&lt;="&amp;day_cash_behind[[#This Row],[Date]]-$F$2, schedule[Finish Date],"&gt;="&amp;day_cash_behind[[#This Row],[Date]]-$F$2)</f>
        <v>0</v>
      </c>
      <c r="G230" s="3">
        <f>SUMIFS(schedule[Other CPP], schedule[Start Date],"&lt;="&amp;day_cash_behind[[#This Row],[Date]]-$G$2, schedule[Finish Date],"&gt;="&amp;day_cash_behind[[#This Row],[Date]]-$G$2)</f>
        <v>0</v>
      </c>
      <c r="H230" s="3">
        <f>SUM(day_cash_behind[[#This Row],[Labor Cost]:[Other Cost]])</f>
        <v>0</v>
      </c>
      <c r="I230" s="3">
        <f>SUMIFS(schedule[Revenue per Day], schedule[Start Date],"&lt;="&amp;day_cash_behind[[#This Row],[Date]]-$I$2, schedule[Finish Date],"&gt;="&amp;day_cash_behind[[#This Row],[Date]]-$I$2)</f>
        <v>8346.2884223580477</v>
      </c>
      <c r="J230" s="3">
        <f>SUM(day_cash_behind[[#Headers],[Labor Cost]]:day_cash_behind[[#This Row],[Labor Cost]])</f>
        <v>594999.99999999988</v>
      </c>
      <c r="K230" s="3">
        <f>SUM(day_cash_behind[[#Headers],[Material Cost]]:day_cash_behind[[#This Row],[Material Cost]])</f>
        <v>261249.99999999951</v>
      </c>
      <c r="L230" s="3">
        <f>SUM(day_cash_behind[[#Headers],[Equipment Cost]]:day_cash_behind[[#This Row],[Equipment Cost]])</f>
        <v>87999.999999999796</v>
      </c>
      <c r="M230" s="3">
        <f>SUM(day_cash_behind[[#Headers],[Sub Cost]]:day_cash_behind[[#This Row],[Sub Cost]])</f>
        <v>730249.99999999872</v>
      </c>
      <c r="N230" s="3">
        <f>SUM(day_cash_behind[[#Headers],[Other Cost]]:day_cash_behind[[#This Row],[Other Cost]])</f>
        <v>58499.999999999847</v>
      </c>
      <c r="O230" s="3">
        <f>SUM(day_cash_behind[[#This Row],[Cumulative Labor]:[Cumulative Other]])</f>
        <v>1732999.9999999977</v>
      </c>
      <c r="P230" s="3">
        <f>SUM(day_cash_behind[[#Headers],[Revenue]]:day_cash_behind[[#This Row],[Revenue]])</f>
        <v>1705089.001018689</v>
      </c>
    </row>
    <row r="231" spans="2:16" x14ac:dyDescent="0.45">
      <c r="B231" s="1">
        <v>46614</v>
      </c>
      <c r="C231" s="4">
        <f>SUMIFS(schedule[Labor CPP], schedule[Start Date],"&lt;="&amp;day_cash_behind[[#This Row],[Date]], schedule[Finish Date],"&gt;="&amp;day_cash_behind[[#This Row],[Date]])</f>
        <v>0</v>
      </c>
      <c r="D231" s="4">
        <f>SUMIFS(schedule[Material CPP], schedule[Start Date],"&lt;="&amp;day_cash_behind[[#This Row],[Date]]-$D$2, schedule[Finish Date],"&gt;="&amp;day_cash_behind[[#This Row],[Date]]-$D$2)</f>
        <v>0</v>
      </c>
      <c r="E231" s="4">
        <f>SUMIFS(schedule[Equipment CPP], schedule[Start Date],"&lt;="&amp;day_cash_behind[[#This Row],[Date]]-$E$2, schedule[Finish Date],"&gt;="&amp;day_cash_behind[[#This Row],[Date]]-$E$2)</f>
        <v>0</v>
      </c>
      <c r="F231" s="4">
        <f>SUMIFS(schedule[Sub CPP], schedule[Start Date],"&lt;="&amp;day_cash_behind[[#This Row],[Date]]-$F$2, schedule[Finish Date],"&gt;="&amp;day_cash_behind[[#This Row],[Date]]-$F$2)</f>
        <v>0</v>
      </c>
      <c r="G231" s="3">
        <f>SUMIFS(schedule[Other CPP], schedule[Start Date],"&lt;="&amp;day_cash_behind[[#This Row],[Date]]-$G$2, schedule[Finish Date],"&gt;="&amp;day_cash_behind[[#This Row],[Date]]-$G$2)</f>
        <v>0</v>
      </c>
      <c r="H231" s="3">
        <f>SUM(day_cash_behind[[#This Row],[Labor Cost]:[Other Cost]])</f>
        <v>0</v>
      </c>
      <c r="I231" s="3">
        <f>SUMIFS(schedule[Revenue per Day], schedule[Start Date],"&lt;="&amp;day_cash_behind[[#This Row],[Date]]-$I$2, schedule[Finish Date],"&gt;="&amp;day_cash_behind[[#This Row],[Date]]-$I$2)</f>
        <v>8346.2884223580477</v>
      </c>
      <c r="J231" s="3">
        <f>SUM(day_cash_behind[[#Headers],[Labor Cost]]:day_cash_behind[[#This Row],[Labor Cost]])</f>
        <v>594999.99999999988</v>
      </c>
      <c r="K231" s="3">
        <f>SUM(day_cash_behind[[#Headers],[Material Cost]]:day_cash_behind[[#This Row],[Material Cost]])</f>
        <v>261249.99999999951</v>
      </c>
      <c r="L231" s="3">
        <f>SUM(day_cash_behind[[#Headers],[Equipment Cost]]:day_cash_behind[[#This Row],[Equipment Cost]])</f>
        <v>87999.999999999796</v>
      </c>
      <c r="M231" s="3">
        <f>SUM(day_cash_behind[[#Headers],[Sub Cost]]:day_cash_behind[[#This Row],[Sub Cost]])</f>
        <v>730249.99999999872</v>
      </c>
      <c r="N231" s="3">
        <f>SUM(day_cash_behind[[#Headers],[Other Cost]]:day_cash_behind[[#This Row],[Other Cost]])</f>
        <v>58499.999999999847</v>
      </c>
      <c r="O231" s="3">
        <f>SUM(day_cash_behind[[#This Row],[Cumulative Labor]:[Cumulative Other]])</f>
        <v>1732999.9999999977</v>
      </c>
      <c r="P231" s="3">
        <f>SUM(day_cash_behind[[#Headers],[Revenue]]:day_cash_behind[[#This Row],[Revenue]])</f>
        <v>1713435.289441047</v>
      </c>
    </row>
    <row r="232" spans="2:16" x14ac:dyDescent="0.45">
      <c r="B232" s="1">
        <v>46615</v>
      </c>
      <c r="C232" s="4">
        <f>SUMIFS(schedule[Labor CPP], schedule[Start Date],"&lt;="&amp;day_cash_behind[[#This Row],[Date]], schedule[Finish Date],"&gt;="&amp;day_cash_behind[[#This Row],[Date]])</f>
        <v>0</v>
      </c>
      <c r="D232" s="4">
        <f>SUMIFS(schedule[Material CPP], schedule[Start Date],"&lt;="&amp;day_cash_behind[[#This Row],[Date]]-$D$2, schedule[Finish Date],"&gt;="&amp;day_cash_behind[[#This Row],[Date]]-$D$2)</f>
        <v>0</v>
      </c>
      <c r="E232" s="4">
        <f>SUMIFS(schedule[Equipment CPP], schedule[Start Date],"&lt;="&amp;day_cash_behind[[#This Row],[Date]]-$E$2, schedule[Finish Date],"&gt;="&amp;day_cash_behind[[#This Row],[Date]]-$E$2)</f>
        <v>0</v>
      </c>
      <c r="F232" s="4">
        <f>SUMIFS(schedule[Sub CPP], schedule[Start Date],"&lt;="&amp;day_cash_behind[[#This Row],[Date]]-$F$2, schedule[Finish Date],"&gt;="&amp;day_cash_behind[[#This Row],[Date]]-$F$2)</f>
        <v>0</v>
      </c>
      <c r="G232" s="3">
        <f>SUMIFS(schedule[Other CPP], schedule[Start Date],"&lt;="&amp;day_cash_behind[[#This Row],[Date]]-$G$2, schedule[Finish Date],"&gt;="&amp;day_cash_behind[[#This Row],[Date]]-$G$2)</f>
        <v>0</v>
      </c>
      <c r="H232" s="3">
        <f>SUM(day_cash_behind[[#This Row],[Labor Cost]:[Other Cost]])</f>
        <v>0</v>
      </c>
      <c r="I232" s="3">
        <f>SUMIFS(schedule[Revenue per Day], schedule[Start Date],"&lt;="&amp;day_cash_behind[[#This Row],[Date]]-$I$2, schedule[Finish Date],"&gt;="&amp;day_cash_behind[[#This Row],[Date]]-$I$2)</f>
        <v>8346.2884223580477</v>
      </c>
      <c r="J232" s="3">
        <f>SUM(day_cash_behind[[#Headers],[Labor Cost]]:day_cash_behind[[#This Row],[Labor Cost]])</f>
        <v>594999.99999999988</v>
      </c>
      <c r="K232" s="3">
        <f>SUM(day_cash_behind[[#Headers],[Material Cost]]:day_cash_behind[[#This Row],[Material Cost]])</f>
        <v>261249.99999999951</v>
      </c>
      <c r="L232" s="3">
        <f>SUM(day_cash_behind[[#Headers],[Equipment Cost]]:day_cash_behind[[#This Row],[Equipment Cost]])</f>
        <v>87999.999999999796</v>
      </c>
      <c r="M232" s="3">
        <f>SUM(day_cash_behind[[#Headers],[Sub Cost]]:day_cash_behind[[#This Row],[Sub Cost]])</f>
        <v>730249.99999999872</v>
      </c>
      <c r="N232" s="3">
        <f>SUM(day_cash_behind[[#Headers],[Other Cost]]:day_cash_behind[[#This Row],[Other Cost]])</f>
        <v>58499.999999999847</v>
      </c>
      <c r="O232" s="3">
        <f>SUM(day_cash_behind[[#This Row],[Cumulative Labor]:[Cumulative Other]])</f>
        <v>1732999.9999999977</v>
      </c>
      <c r="P232" s="3">
        <f>SUM(day_cash_behind[[#Headers],[Revenue]]:day_cash_behind[[#This Row],[Revenue]])</f>
        <v>1721781.577863405</v>
      </c>
    </row>
    <row r="233" spans="2:16" x14ac:dyDescent="0.45">
      <c r="B233" s="1">
        <v>46616</v>
      </c>
      <c r="C233" s="4">
        <f>SUMIFS(schedule[Labor CPP], schedule[Start Date],"&lt;="&amp;day_cash_behind[[#This Row],[Date]], schedule[Finish Date],"&gt;="&amp;day_cash_behind[[#This Row],[Date]])</f>
        <v>0</v>
      </c>
      <c r="D233" s="4">
        <f>SUMIFS(schedule[Material CPP], schedule[Start Date],"&lt;="&amp;day_cash_behind[[#This Row],[Date]]-$D$2, schedule[Finish Date],"&gt;="&amp;day_cash_behind[[#This Row],[Date]]-$D$2)</f>
        <v>0</v>
      </c>
      <c r="E233" s="4">
        <f>SUMIFS(schedule[Equipment CPP], schedule[Start Date],"&lt;="&amp;day_cash_behind[[#This Row],[Date]]-$E$2, schedule[Finish Date],"&gt;="&amp;day_cash_behind[[#This Row],[Date]]-$E$2)</f>
        <v>0</v>
      </c>
      <c r="F233" s="4">
        <f>SUMIFS(schedule[Sub CPP], schedule[Start Date],"&lt;="&amp;day_cash_behind[[#This Row],[Date]]-$F$2, schedule[Finish Date],"&gt;="&amp;day_cash_behind[[#This Row],[Date]]-$F$2)</f>
        <v>0</v>
      </c>
      <c r="G233" s="3">
        <f>SUMIFS(schedule[Other CPP], schedule[Start Date],"&lt;="&amp;day_cash_behind[[#This Row],[Date]]-$G$2, schedule[Finish Date],"&gt;="&amp;day_cash_behind[[#This Row],[Date]]-$G$2)</f>
        <v>0</v>
      </c>
      <c r="H233" s="3">
        <f>SUM(day_cash_behind[[#This Row],[Labor Cost]:[Other Cost]])</f>
        <v>0</v>
      </c>
      <c r="I233" s="3">
        <f>SUMIFS(schedule[Revenue per Day], schedule[Start Date],"&lt;="&amp;day_cash_behind[[#This Row],[Date]]-$I$2, schedule[Finish Date],"&gt;="&amp;day_cash_behind[[#This Row],[Date]]-$I$2)</f>
        <v>8346.2884223580477</v>
      </c>
      <c r="J233" s="3">
        <f>SUM(day_cash_behind[[#Headers],[Labor Cost]]:day_cash_behind[[#This Row],[Labor Cost]])</f>
        <v>594999.99999999988</v>
      </c>
      <c r="K233" s="3">
        <f>SUM(day_cash_behind[[#Headers],[Material Cost]]:day_cash_behind[[#This Row],[Material Cost]])</f>
        <v>261249.99999999951</v>
      </c>
      <c r="L233" s="3">
        <f>SUM(day_cash_behind[[#Headers],[Equipment Cost]]:day_cash_behind[[#This Row],[Equipment Cost]])</f>
        <v>87999.999999999796</v>
      </c>
      <c r="M233" s="3">
        <f>SUM(day_cash_behind[[#Headers],[Sub Cost]]:day_cash_behind[[#This Row],[Sub Cost]])</f>
        <v>730249.99999999872</v>
      </c>
      <c r="N233" s="3">
        <f>SUM(day_cash_behind[[#Headers],[Other Cost]]:day_cash_behind[[#This Row],[Other Cost]])</f>
        <v>58499.999999999847</v>
      </c>
      <c r="O233" s="3">
        <f>SUM(day_cash_behind[[#This Row],[Cumulative Labor]:[Cumulative Other]])</f>
        <v>1732999.9999999977</v>
      </c>
      <c r="P233" s="3">
        <f>SUM(day_cash_behind[[#Headers],[Revenue]]:day_cash_behind[[#This Row],[Revenue]])</f>
        <v>1730127.866285763</v>
      </c>
    </row>
    <row r="234" spans="2:16" x14ac:dyDescent="0.45">
      <c r="B234" s="1">
        <v>46617</v>
      </c>
      <c r="C234" s="4">
        <f>SUMIFS(schedule[Labor CPP], schedule[Start Date],"&lt;="&amp;day_cash_behind[[#This Row],[Date]], schedule[Finish Date],"&gt;="&amp;day_cash_behind[[#This Row],[Date]])</f>
        <v>0</v>
      </c>
      <c r="D234" s="4">
        <f>SUMIFS(schedule[Material CPP], schedule[Start Date],"&lt;="&amp;day_cash_behind[[#This Row],[Date]]-$D$2, schedule[Finish Date],"&gt;="&amp;day_cash_behind[[#This Row],[Date]]-$D$2)</f>
        <v>0</v>
      </c>
      <c r="E234" s="4">
        <f>SUMIFS(schedule[Equipment CPP], schedule[Start Date],"&lt;="&amp;day_cash_behind[[#This Row],[Date]]-$E$2, schedule[Finish Date],"&gt;="&amp;day_cash_behind[[#This Row],[Date]]-$E$2)</f>
        <v>0</v>
      </c>
      <c r="F234" s="4">
        <f>SUMIFS(schedule[Sub CPP], schedule[Start Date],"&lt;="&amp;day_cash_behind[[#This Row],[Date]]-$F$2, schedule[Finish Date],"&gt;="&amp;day_cash_behind[[#This Row],[Date]]-$F$2)</f>
        <v>0</v>
      </c>
      <c r="G234" s="3">
        <f>SUMIFS(schedule[Other CPP], schedule[Start Date],"&lt;="&amp;day_cash_behind[[#This Row],[Date]]-$G$2, schedule[Finish Date],"&gt;="&amp;day_cash_behind[[#This Row],[Date]]-$G$2)</f>
        <v>0</v>
      </c>
      <c r="H234" s="3">
        <f>SUM(day_cash_behind[[#This Row],[Labor Cost]:[Other Cost]])</f>
        <v>0</v>
      </c>
      <c r="I234" s="3">
        <f>SUMIFS(schedule[Revenue per Day], schedule[Start Date],"&lt;="&amp;day_cash_behind[[#This Row],[Date]]-$I$2, schedule[Finish Date],"&gt;="&amp;day_cash_behind[[#This Row],[Date]]-$I$2)</f>
        <v>8346.2884223580477</v>
      </c>
      <c r="J234" s="3">
        <f>SUM(day_cash_behind[[#Headers],[Labor Cost]]:day_cash_behind[[#This Row],[Labor Cost]])</f>
        <v>594999.99999999988</v>
      </c>
      <c r="K234" s="3">
        <f>SUM(day_cash_behind[[#Headers],[Material Cost]]:day_cash_behind[[#This Row],[Material Cost]])</f>
        <v>261249.99999999951</v>
      </c>
      <c r="L234" s="3">
        <f>SUM(day_cash_behind[[#Headers],[Equipment Cost]]:day_cash_behind[[#This Row],[Equipment Cost]])</f>
        <v>87999.999999999796</v>
      </c>
      <c r="M234" s="3">
        <f>SUM(day_cash_behind[[#Headers],[Sub Cost]]:day_cash_behind[[#This Row],[Sub Cost]])</f>
        <v>730249.99999999872</v>
      </c>
      <c r="N234" s="3">
        <f>SUM(day_cash_behind[[#Headers],[Other Cost]]:day_cash_behind[[#This Row],[Other Cost]])</f>
        <v>58499.999999999847</v>
      </c>
      <c r="O234" s="3">
        <f>SUM(day_cash_behind[[#This Row],[Cumulative Labor]:[Cumulative Other]])</f>
        <v>1732999.9999999977</v>
      </c>
      <c r="P234" s="3">
        <f>SUM(day_cash_behind[[#Headers],[Revenue]]:day_cash_behind[[#This Row],[Revenue]])</f>
        <v>1738474.154708121</v>
      </c>
    </row>
    <row r="235" spans="2:16" x14ac:dyDescent="0.45">
      <c r="B235" s="1">
        <v>46618</v>
      </c>
      <c r="C235" s="4">
        <f>SUMIFS(schedule[Labor CPP], schedule[Start Date],"&lt;="&amp;day_cash_behind[[#This Row],[Date]], schedule[Finish Date],"&gt;="&amp;day_cash_behind[[#This Row],[Date]])</f>
        <v>0</v>
      </c>
      <c r="D235" s="4">
        <f>SUMIFS(schedule[Material CPP], schedule[Start Date],"&lt;="&amp;day_cash_behind[[#This Row],[Date]]-$D$2, schedule[Finish Date],"&gt;="&amp;day_cash_behind[[#This Row],[Date]]-$D$2)</f>
        <v>0</v>
      </c>
      <c r="E235" s="4">
        <f>SUMIFS(schedule[Equipment CPP], schedule[Start Date],"&lt;="&amp;day_cash_behind[[#This Row],[Date]]-$E$2, schedule[Finish Date],"&gt;="&amp;day_cash_behind[[#This Row],[Date]]-$E$2)</f>
        <v>0</v>
      </c>
      <c r="F235" s="4">
        <f>SUMIFS(schedule[Sub CPP], schedule[Start Date],"&lt;="&amp;day_cash_behind[[#This Row],[Date]]-$F$2, schedule[Finish Date],"&gt;="&amp;day_cash_behind[[#This Row],[Date]]-$F$2)</f>
        <v>0</v>
      </c>
      <c r="G235" s="3">
        <f>SUMIFS(schedule[Other CPP], schedule[Start Date],"&lt;="&amp;day_cash_behind[[#This Row],[Date]]-$G$2, schedule[Finish Date],"&gt;="&amp;day_cash_behind[[#This Row],[Date]]-$G$2)</f>
        <v>0</v>
      </c>
      <c r="H235" s="3">
        <f>SUM(day_cash_behind[[#This Row],[Labor Cost]:[Other Cost]])</f>
        <v>0</v>
      </c>
      <c r="I235" s="3">
        <f>SUMIFS(schedule[Revenue per Day], schedule[Start Date],"&lt;="&amp;day_cash_behind[[#This Row],[Date]]-$I$2, schedule[Finish Date],"&gt;="&amp;day_cash_behind[[#This Row],[Date]]-$I$2)</f>
        <v>8346.2884223580477</v>
      </c>
      <c r="J235" s="3">
        <f>SUM(day_cash_behind[[#Headers],[Labor Cost]]:day_cash_behind[[#This Row],[Labor Cost]])</f>
        <v>594999.99999999988</v>
      </c>
      <c r="K235" s="3">
        <f>SUM(day_cash_behind[[#Headers],[Material Cost]]:day_cash_behind[[#This Row],[Material Cost]])</f>
        <v>261249.99999999951</v>
      </c>
      <c r="L235" s="3">
        <f>SUM(day_cash_behind[[#Headers],[Equipment Cost]]:day_cash_behind[[#This Row],[Equipment Cost]])</f>
        <v>87999.999999999796</v>
      </c>
      <c r="M235" s="3">
        <f>SUM(day_cash_behind[[#Headers],[Sub Cost]]:day_cash_behind[[#This Row],[Sub Cost]])</f>
        <v>730249.99999999872</v>
      </c>
      <c r="N235" s="3">
        <f>SUM(day_cash_behind[[#Headers],[Other Cost]]:day_cash_behind[[#This Row],[Other Cost]])</f>
        <v>58499.999999999847</v>
      </c>
      <c r="O235" s="3">
        <f>SUM(day_cash_behind[[#This Row],[Cumulative Labor]:[Cumulative Other]])</f>
        <v>1732999.9999999977</v>
      </c>
      <c r="P235" s="3">
        <f>SUM(day_cash_behind[[#Headers],[Revenue]]:day_cash_behind[[#This Row],[Revenue]])</f>
        <v>1746820.443130479</v>
      </c>
    </row>
    <row r="236" spans="2:16" x14ac:dyDescent="0.45">
      <c r="B236" s="1">
        <v>46619</v>
      </c>
      <c r="C236" s="4">
        <f>SUMIFS(schedule[Labor CPP], schedule[Start Date],"&lt;="&amp;day_cash_behind[[#This Row],[Date]], schedule[Finish Date],"&gt;="&amp;day_cash_behind[[#This Row],[Date]])</f>
        <v>0</v>
      </c>
      <c r="D236" s="4">
        <f>SUMIFS(schedule[Material CPP], schedule[Start Date],"&lt;="&amp;day_cash_behind[[#This Row],[Date]]-$D$2, schedule[Finish Date],"&gt;="&amp;day_cash_behind[[#This Row],[Date]]-$D$2)</f>
        <v>0</v>
      </c>
      <c r="E236" s="4">
        <f>SUMIFS(schedule[Equipment CPP], schedule[Start Date],"&lt;="&amp;day_cash_behind[[#This Row],[Date]]-$E$2, schedule[Finish Date],"&gt;="&amp;day_cash_behind[[#This Row],[Date]]-$E$2)</f>
        <v>0</v>
      </c>
      <c r="F236" s="4">
        <f>SUMIFS(schedule[Sub CPP], schedule[Start Date],"&lt;="&amp;day_cash_behind[[#This Row],[Date]]-$F$2, schedule[Finish Date],"&gt;="&amp;day_cash_behind[[#This Row],[Date]]-$F$2)</f>
        <v>0</v>
      </c>
      <c r="G236" s="3">
        <f>SUMIFS(schedule[Other CPP], schedule[Start Date],"&lt;="&amp;day_cash_behind[[#This Row],[Date]]-$G$2, schedule[Finish Date],"&gt;="&amp;day_cash_behind[[#This Row],[Date]]-$G$2)</f>
        <v>0</v>
      </c>
      <c r="H236" s="3">
        <f>SUM(day_cash_behind[[#This Row],[Labor Cost]:[Other Cost]])</f>
        <v>0</v>
      </c>
      <c r="I236" s="3">
        <f>SUMIFS(schedule[Revenue per Day], schedule[Start Date],"&lt;="&amp;day_cash_behind[[#This Row],[Date]]-$I$2, schedule[Finish Date],"&gt;="&amp;day_cash_behind[[#This Row],[Date]]-$I$2)</f>
        <v>8346.2884223580477</v>
      </c>
      <c r="J236" s="3">
        <f>SUM(day_cash_behind[[#Headers],[Labor Cost]]:day_cash_behind[[#This Row],[Labor Cost]])</f>
        <v>594999.99999999988</v>
      </c>
      <c r="K236" s="3">
        <f>SUM(day_cash_behind[[#Headers],[Material Cost]]:day_cash_behind[[#This Row],[Material Cost]])</f>
        <v>261249.99999999951</v>
      </c>
      <c r="L236" s="3">
        <f>SUM(day_cash_behind[[#Headers],[Equipment Cost]]:day_cash_behind[[#This Row],[Equipment Cost]])</f>
        <v>87999.999999999796</v>
      </c>
      <c r="M236" s="3">
        <f>SUM(day_cash_behind[[#Headers],[Sub Cost]]:day_cash_behind[[#This Row],[Sub Cost]])</f>
        <v>730249.99999999872</v>
      </c>
      <c r="N236" s="3">
        <f>SUM(day_cash_behind[[#Headers],[Other Cost]]:day_cash_behind[[#This Row],[Other Cost]])</f>
        <v>58499.999999999847</v>
      </c>
      <c r="O236" s="3">
        <f>SUM(day_cash_behind[[#This Row],[Cumulative Labor]:[Cumulative Other]])</f>
        <v>1732999.9999999977</v>
      </c>
      <c r="P236" s="3">
        <f>SUM(day_cash_behind[[#Headers],[Revenue]]:day_cash_behind[[#This Row],[Revenue]])</f>
        <v>1755166.731552837</v>
      </c>
    </row>
    <row r="237" spans="2:16" x14ac:dyDescent="0.45">
      <c r="B237" s="1">
        <v>46620</v>
      </c>
      <c r="C237" s="4">
        <f>SUMIFS(schedule[Labor CPP], schedule[Start Date],"&lt;="&amp;day_cash_behind[[#This Row],[Date]], schedule[Finish Date],"&gt;="&amp;day_cash_behind[[#This Row],[Date]])</f>
        <v>0</v>
      </c>
      <c r="D237" s="4">
        <f>SUMIFS(schedule[Material CPP], schedule[Start Date],"&lt;="&amp;day_cash_behind[[#This Row],[Date]]-$D$2, schedule[Finish Date],"&gt;="&amp;day_cash_behind[[#This Row],[Date]]-$D$2)</f>
        <v>0</v>
      </c>
      <c r="E237" s="4">
        <f>SUMIFS(schedule[Equipment CPP], schedule[Start Date],"&lt;="&amp;day_cash_behind[[#This Row],[Date]]-$E$2, schedule[Finish Date],"&gt;="&amp;day_cash_behind[[#This Row],[Date]]-$E$2)</f>
        <v>0</v>
      </c>
      <c r="F237" s="4">
        <f>SUMIFS(schedule[Sub CPP], schedule[Start Date],"&lt;="&amp;day_cash_behind[[#This Row],[Date]]-$F$2, schedule[Finish Date],"&gt;="&amp;day_cash_behind[[#This Row],[Date]]-$F$2)</f>
        <v>0</v>
      </c>
      <c r="G237" s="3">
        <f>SUMIFS(schedule[Other CPP], schedule[Start Date],"&lt;="&amp;day_cash_behind[[#This Row],[Date]]-$G$2, schedule[Finish Date],"&gt;="&amp;day_cash_behind[[#This Row],[Date]]-$G$2)</f>
        <v>0</v>
      </c>
      <c r="H237" s="3">
        <f>SUM(day_cash_behind[[#This Row],[Labor Cost]:[Other Cost]])</f>
        <v>0</v>
      </c>
      <c r="I237" s="3">
        <f>SUMIFS(schedule[Revenue per Day], schedule[Start Date],"&lt;="&amp;day_cash_behind[[#This Row],[Date]]-$I$2, schedule[Finish Date],"&gt;="&amp;day_cash_behind[[#This Row],[Date]]-$I$2)</f>
        <v>8346.2884223580477</v>
      </c>
      <c r="J237" s="3">
        <f>SUM(day_cash_behind[[#Headers],[Labor Cost]]:day_cash_behind[[#This Row],[Labor Cost]])</f>
        <v>594999.99999999988</v>
      </c>
      <c r="K237" s="3">
        <f>SUM(day_cash_behind[[#Headers],[Material Cost]]:day_cash_behind[[#This Row],[Material Cost]])</f>
        <v>261249.99999999951</v>
      </c>
      <c r="L237" s="3">
        <f>SUM(day_cash_behind[[#Headers],[Equipment Cost]]:day_cash_behind[[#This Row],[Equipment Cost]])</f>
        <v>87999.999999999796</v>
      </c>
      <c r="M237" s="3">
        <f>SUM(day_cash_behind[[#Headers],[Sub Cost]]:day_cash_behind[[#This Row],[Sub Cost]])</f>
        <v>730249.99999999872</v>
      </c>
      <c r="N237" s="3">
        <f>SUM(day_cash_behind[[#Headers],[Other Cost]]:day_cash_behind[[#This Row],[Other Cost]])</f>
        <v>58499.999999999847</v>
      </c>
      <c r="O237" s="3">
        <f>SUM(day_cash_behind[[#This Row],[Cumulative Labor]:[Cumulative Other]])</f>
        <v>1732999.9999999977</v>
      </c>
      <c r="P237" s="3">
        <f>SUM(day_cash_behind[[#Headers],[Revenue]]:day_cash_behind[[#This Row],[Revenue]])</f>
        <v>1763513.0199751949</v>
      </c>
    </row>
    <row r="238" spans="2:16" x14ac:dyDescent="0.45">
      <c r="B238" s="1">
        <v>46621</v>
      </c>
      <c r="C238" s="4">
        <f>SUMIFS(schedule[Labor CPP], schedule[Start Date],"&lt;="&amp;day_cash_behind[[#This Row],[Date]], schedule[Finish Date],"&gt;="&amp;day_cash_behind[[#This Row],[Date]])</f>
        <v>0</v>
      </c>
      <c r="D238" s="4">
        <f>SUMIFS(schedule[Material CPP], schedule[Start Date],"&lt;="&amp;day_cash_behind[[#This Row],[Date]]-$D$2, schedule[Finish Date],"&gt;="&amp;day_cash_behind[[#This Row],[Date]]-$D$2)</f>
        <v>0</v>
      </c>
      <c r="E238" s="4">
        <f>SUMIFS(schedule[Equipment CPP], schedule[Start Date],"&lt;="&amp;day_cash_behind[[#This Row],[Date]]-$E$2, schedule[Finish Date],"&gt;="&amp;day_cash_behind[[#This Row],[Date]]-$E$2)</f>
        <v>0</v>
      </c>
      <c r="F238" s="4">
        <f>SUMIFS(schedule[Sub CPP], schedule[Start Date],"&lt;="&amp;day_cash_behind[[#This Row],[Date]]-$F$2, schedule[Finish Date],"&gt;="&amp;day_cash_behind[[#This Row],[Date]]-$F$2)</f>
        <v>0</v>
      </c>
      <c r="G238" s="3">
        <f>SUMIFS(schedule[Other CPP], schedule[Start Date],"&lt;="&amp;day_cash_behind[[#This Row],[Date]]-$G$2, schedule[Finish Date],"&gt;="&amp;day_cash_behind[[#This Row],[Date]]-$G$2)</f>
        <v>0</v>
      </c>
      <c r="H238" s="3">
        <f>SUM(day_cash_behind[[#This Row],[Labor Cost]:[Other Cost]])</f>
        <v>0</v>
      </c>
      <c r="I238" s="3">
        <f>SUMIFS(schedule[Revenue per Day], schedule[Start Date],"&lt;="&amp;day_cash_behind[[#This Row],[Date]]-$I$2, schedule[Finish Date],"&gt;="&amp;day_cash_behind[[#This Row],[Date]]-$I$2)</f>
        <v>23481.705089024716</v>
      </c>
      <c r="J238" s="3">
        <f>SUM(day_cash_behind[[#Headers],[Labor Cost]]:day_cash_behind[[#This Row],[Labor Cost]])</f>
        <v>594999.99999999988</v>
      </c>
      <c r="K238" s="3">
        <f>SUM(day_cash_behind[[#Headers],[Material Cost]]:day_cash_behind[[#This Row],[Material Cost]])</f>
        <v>261249.99999999951</v>
      </c>
      <c r="L238" s="3">
        <f>SUM(day_cash_behind[[#Headers],[Equipment Cost]]:day_cash_behind[[#This Row],[Equipment Cost]])</f>
        <v>87999.999999999796</v>
      </c>
      <c r="M238" s="3">
        <f>SUM(day_cash_behind[[#Headers],[Sub Cost]]:day_cash_behind[[#This Row],[Sub Cost]])</f>
        <v>730249.99999999872</v>
      </c>
      <c r="N238" s="3">
        <f>SUM(day_cash_behind[[#Headers],[Other Cost]]:day_cash_behind[[#This Row],[Other Cost]])</f>
        <v>58499.999999999847</v>
      </c>
      <c r="O238" s="3">
        <f>SUM(day_cash_behind[[#This Row],[Cumulative Labor]:[Cumulative Other]])</f>
        <v>1732999.9999999977</v>
      </c>
      <c r="P238" s="3">
        <f>SUM(day_cash_behind[[#Headers],[Revenue]]:day_cash_behind[[#This Row],[Revenue]])</f>
        <v>1786994.7250642197</v>
      </c>
    </row>
    <row r="239" spans="2:16" x14ac:dyDescent="0.45">
      <c r="B239" s="1">
        <v>46622</v>
      </c>
      <c r="C239" s="4">
        <f>SUMIFS(schedule[Labor CPP], schedule[Start Date],"&lt;="&amp;day_cash_behind[[#This Row],[Date]], schedule[Finish Date],"&gt;="&amp;day_cash_behind[[#This Row],[Date]])</f>
        <v>0</v>
      </c>
      <c r="D239" s="4">
        <f>SUMIFS(schedule[Material CPP], schedule[Start Date],"&lt;="&amp;day_cash_behind[[#This Row],[Date]]-$D$2, schedule[Finish Date],"&gt;="&amp;day_cash_behind[[#This Row],[Date]]-$D$2)</f>
        <v>0</v>
      </c>
      <c r="E239" s="4">
        <f>SUMIFS(schedule[Equipment CPP], schedule[Start Date],"&lt;="&amp;day_cash_behind[[#This Row],[Date]]-$E$2, schedule[Finish Date],"&gt;="&amp;day_cash_behind[[#This Row],[Date]]-$E$2)</f>
        <v>0</v>
      </c>
      <c r="F239" s="4">
        <f>SUMIFS(schedule[Sub CPP], schedule[Start Date],"&lt;="&amp;day_cash_behind[[#This Row],[Date]]-$F$2, schedule[Finish Date],"&gt;="&amp;day_cash_behind[[#This Row],[Date]]-$F$2)</f>
        <v>0</v>
      </c>
      <c r="G239" s="3">
        <f>SUMIFS(schedule[Other CPP], schedule[Start Date],"&lt;="&amp;day_cash_behind[[#This Row],[Date]]-$G$2, schedule[Finish Date],"&gt;="&amp;day_cash_behind[[#This Row],[Date]]-$G$2)</f>
        <v>0</v>
      </c>
      <c r="H239" s="3">
        <f>SUM(day_cash_behind[[#This Row],[Labor Cost]:[Other Cost]])</f>
        <v>0</v>
      </c>
      <c r="I239" s="3">
        <f>SUMIFS(schedule[Revenue per Day], schedule[Start Date],"&lt;="&amp;day_cash_behind[[#This Row],[Date]]-$I$2, schedule[Finish Date],"&gt;="&amp;day_cash_behind[[#This Row],[Date]]-$I$2)</f>
        <v>23481.705089024716</v>
      </c>
      <c r="J239" s="3">
        <f>SUM(day_cash_behind[[#Headers],[Labor Cost]]:day_cash_behind[[#This Row],[Labor Cost]])</f>
        <v>594999.99999999988</v>
      </c>
      <c r="K239" s="3">
        <f>SUM(day_cash_behind[[#Headers],[Material Cost]]:day_cash_behind[[#This Row],[Material Cost]])</f>
        <v>261249.99999999951</v>
      </c>
      <c r="L239" s="3">
        <f>SUM(day_cash_behind[[#Headers],[Equipment Cost]]:day_cash_behind[[#This Row],[Equipment Cost]])</f>
        <v>87999.999999999796</v>
      </c>
      <c r="M239" s="3">
        <f>SUM(day_cash_behind[[#Headers],[Sub Cost]]:day_cash_behind[[#This Row],[Sub Cost]])</f>
        <v>730249.99999999872</v>
      </c>
      <c r="N239" s="3">
        <f>SUM(day_cash_behind[[#Headers],[Other Cost]]:day_cash_behind[[#This Row],[Other Cost]])</f>
        <v>58499.999999999847</v>
      </c>
      <c r="O239" s="3">
        <f>SUM(day_cash_behind[[#This Row],[Cumulative Labor]:[Cumulative Other]])</f>
        <v>1732999.9999999977</v>
      </c>
      <c r="P239" s="3">
        <f>SUM(day_cash_behind[[#Headers],[Revenue]]:day_cash_behind[[#This Row],[Revenue]])</f>
        <v>1810476.4301532444</v>
      </c>
    </row>
    <row r="240" spans="2:16" x14ac:dyDescent="0.45">
      <c r="B240" s="1">
        <v>46623</v>
      </c>
      <c r="C240" s="4">
        <f>SUMIFS(schedule[Labor CPP], schedule[Start Date],"&lt;="&amp;day_cash_behind[[#This Row],[Date]], schedule[Finish Date],"&gt;="&amp;day_cash_behind[[#This Row],[Date]])</f>
        <v>0</v>
      </c>
      <c r="D240" s="4">
        <f>SUMIFS(schedule[Material CPP], schedule[Start Date],"&lt;="&amp;day_cash_behind[[#This Row],[Date]]-$D$2, schedule[Finish Date],"&gt;="&amp;day_cash_behind[[#This Row],[Date]]-$D$2)</f>
        <v>0</v>
      </c>
      <c r="E240" s="4">
        <f>SUMIFS(schedule[Equipment CPP], schedule[Start Date],"&lt;="&amp;day_cash_behind[[#This Row],[Date]]-$E$2, schedule[Finish Date],"&gt;="&amp;day_cash_behind[[#This Row],[Date]]-$E$2)</f>
        <v>0</v>
      </c>
      <c r="F240" s="4">
        <f>SUMIFS(schedule[Sub CPP], schedule[Start Date],"&lt;="&amp;day_cash_behind[[#This Row],[Date]]-$F$2, schedule[Finish Date],"&gt;="&amp;day_cash_behind[[#This Row],[Date]]-$F$2)</f>
        <v>0</v>
      </c>
      <c r="G240" s="3">
        <f>SUMIFS(schedule[Other CPP], schedule[Start Date],"&lt;="&amp;day_cash_behind[[#This Row],[Date]]-$G$2, schedule[Finish Date],"&gt;="&amp;day_cash_behind[[#This Row],[Date]]-$G$2)</f>
        <v>0</v>
      </c>
      <c r="H240" s="3">
        <f>SUM(day_cash_behind[[#This Row],[Labor Cost]:[Other Cost]])</f>
        <v>0</v>
      </c>
      <c r="I240" s="3">
        <f>SUMIFS(schedule[Revenue per Day], schedule[Start Date],"&lt;="&amp;day_cash_behind[[#This Row],[Date]]-$I$2, schedule[Finish Date],"&gt;="&amp;day_cash_behind[[#This Row],[Date]]-$I$2)</f>
        <v>23481.705089024716</v>
      </c>
      <c r="J240" s="3">
        <f>SUM(day_cash_behind[[#Headers],[Labor Cost]]:day_cash_behind[[#This Row],[Labor Cost]])</f>
        <v>594999.99999999988</v>
      </c>
      <c r="K240" s="3">
        <f>SUM(day_cash_behind[[#Headers],[Material Cost]]:day_cash_behind[[#This Row],[Material Cost]])</f>
        <v>261249.99999999951</v>
      </c>
      <c r="L240" s="3">
        <f>SUM(day_cash_behind[[#Headers],[Equipment Cost]]:day_cash_behind[[#This Row],[Equipment Cost]])</f>
        <v>87999.999999999796</v>
      </c>
      <c r="M240" s="3">
        <f>SUM(day_cash_behind[[#Headers],[Sub Cost]]:day_cash_behind[[#This Row],[Sub Cost]])</f>
        <v>730249.99999999872</v>
      </c>
      <c r="N240" s="3">
        <f>SUM(day_cash_behind[[#Headers],[Other Cost]]:day_cash_behind[[#This Row],[Other Cost]])</f>
        <v>58499.999999999847</v>
      </c>
      <c r="O240" s="3">
        <f>SUM(day_cash_behind[[#This Row],[Cumulative Labor]:[Cumulative Other]])</f>
        <v>1732999.9999999977</v>
      </c>
      <c r="P240" s="3">
        <f>SUM(day_cash_behind[[#Headers],[Revenue]]:day_cash_behind[[#This Row],[Revenue]])</f>
        <v>1833958.1352422691</v>
      </c>
    </row>
    <row r="241" spans="2:16" x14ac:dyDescent="0.45">
      <c r="B241" s="1">
        <v>46624</v>
      </c>
      <c r="C241" s="4">
        <f>SUMIFS(schedule[Labor CPP], schedule[Start Date],"&lt;="&amp;day_cash_behind[[#This Row],[Date]], schedule[Finish Date],"&gt;="&amp;day_cash_behind[[#This Row],[Date]])</f>
        <v>0</v>
      </c>
      <c r="D241" s="4">
        <f>SUMIFS(schedule[Material CPP], schedule[Start Date],"&lt;="&amp;day_cash_behind[[#This Row],[Date]]-$D$2, schedule[Finish Date],"&gt;="&amp;day_cash_behind[[#This Row],[Date]]-$D$2)</f>
        <v>0</v>
      </c>
      <c r="E241" s="4">
        <f>SUMIFS(schedule[Equipment CPP], schedule[Start Date],"&lt;="&amp;day_cash_behind[[#This Row],[Date]]-$E$2, schedule[Finish Date],"&gt;="&amp;day_cash_behind[[#This Row],[Date]]-$E$2)</f>
        <v>0</v>
      </c>
      <c r="F241" s="4">
        <f>SUMIFS(schedule[Sub CPP], schedule[Start Date],"&lt;="&amp;day_cash_behind[[#This Row],[Date]]-$F$2, schedule[Finish Date],"&gt;="&amp;day_cash_behind[[#This Row],[Date]]-$F$2)</f>
        <v>0</v>
      </c>
      <c r="G241" s="3">
        <f>SUMIFS(schedule[Other CPP], schedule[Start Date],"&lt;="&amp;day_cash_behind[[#This Row],[Date]]-$G$2, schedule[Finish Date],"&gt;="&amp;day_cash_behind[[#This Row],[Date]]-$G$2)</f>
        <v>0</v>
      </c>
      <c r="H241" s="3">
        <f>SUM(day_cash_behind[[#This Row],[Labor Cost]:[Other Cost]])</f>
        <v>0</v>
      </c>
      <c r="I241" s="3">
        <f>SUMIFS(schedule[Revenue per Day], schedule[Start Date],"&lt;="&amp;day_cash_behind[[#This Row],[Date]]-$I$2, schedule[Finish Date],"&gt;="&amp;day_cash_behind[[#This Row],[Date]]-$I$2)</f>
        <v>23481.705089024716</v>
      </c>
      <c r="J241" s="3">
        <f>SUM(day_cash_behind[[#Headers],[Labor Cost]]:day_cash_behind[[#This Row],[Labor Cost]])</f>
        <v>594999.99999999988</v>
      </c>
      <c r="K241" s="3">
        <f>SUM(day_cash_behind[[#Headers],[Material Cost]]:day_cash_behind[[#This Row],[Material Cost]])</f>
        <v>261249.99999999951</v>
      </c>
      <c r="L241" s="3">
        <f>SUM(day_cash_behind[[#Headers],[Equipment Cost]]:day_cash_behind[[#This Row],[Equipment Cost]])</f>
        <v>87999.999999999796</v>
      </c>
      <c r="M241" s="3">
        <f>SUM(day_cash_behind[[#Headers],[Sub Cost]]:day_cash_behind[[#This Row],[Sub Cost]])</f>
        <v>730249.99999999872</v>
      </c>
      <c r="N241" s="3">
        <f>SUM(day_cash_behind[[#Headers],[Other Cost]]:day_cash_behind[[#This Row],[Other Cost]])</f>
        <v>58499.999999999847</v>
      </c>
      <c r="O241" s="3">
        <f>SUM(day_cash_behind[[#This Row],[Cumulative Labor]:[Cumulative Other]])</f>
        <v>1732999.9999999977</v>
      </c>
      <c r="P241" s="3">
        <f>SUM(day_cash_behind[[#Headers],[Revenue]]:day_cash_behind[[#This Row],[Revenue]])</f>
        <v>1857439.8403312939</v>
      </c>
    </row>
    <row r="242" spans="2:16" x14ac:dyDescent="0.45">
      <c r="B242" s="1">
        <v>46625</v>
      </c>
      <c r="C242" s="4">
        <f>SUMIFS(schedule[Labor CPP], schedule[Start Date],"&lt;="&amp;day_cash_behind[[#This Row],[Date]], schedule[Finish Date],"&gt;="&amp;day_cash_behind[[#This Row],[Date]])</f>
        <v>0</v>
      </c>
      <c r="D242" s="4">
        <f>SUMIFS(schedule[Material CPP], schedule[Start Date],"&lt;="&amp;day_cash_behind[[#This Row],[Date]]-$D$2, schedule[Finish Date],"&gt;="&amp;day_cash_behind[[#This Row],[Date]]-$D$2)</f>
        <v>0</v>
      </c>
      <c r="E242" s="4">
        <f>SUMIFS(schedule[Equipment CPP], schedule[Start Date],"&lt;="&amp;day_cash_behind[[#This Row],[Date]]-$E$2, schedule[Finish Date],"&gt;="&amp;day_cash_behind[[#This Row],[Date]]-$E$2)</f>
        <v>0</v>
      </c>
      <c r="F242" s="4">
        <f>SUMIFS(schedule[Sub CPP], schedule[Start Date],"&lt;="&amp;day_cash_behind[[#This Row],[Date]]-$F$2, schedule[Finish Date],"&gt;="&amp;day_cash_behind[[#This Row],[Date]]-$F$2)</f>
        <v>0</v>
      </c>
      <c r="G242" s="3">
        <f>SUMIFS(schedule[Other CPP], schedule[Start Date],"&lt;="&amp;day_cash_behind[[#This Row],[Date]]-$G$2, schedule[Finish Date],"&gt;="&amp;day_cash_behind[[#This Row],[Date]]-$G$2)</f>
        <v>0</v>
      </c>
      <c r="H242" s="3">
        <f>SUM(day_cash_behind[[#This Row],[Labor Cost]:[Other Cost]])</f>
        <v>0</v>
      </c>
      <c r="I242" s="3">
        <f>SUMIFS(schedule[Revenue per Day], schedule[Start Date],"&lt;="&amp;day_cash_behind[[#This Row],[Date]]-$I$2, schedule[Finish Date],"&gt;="&amp;day_cash_behind[[#This Row],[Date]]-$I$2)</f>
        <v>23481.705089024716</v>
      </c>
      <c r="J242" s="3">
        <f>SUM(day_cash_behind[[#Headers],[Labor Cost]]:day_cash_behind[[#This Row],[Labor Cost]])</f>
        <v>594999.99999999988</v>
      </c>
      <c r="K242" s="3">
        <f>SUM(day_cash_behind[[#Headers],[Material Cost]]:day_cash_behind[[#This Row],[Material Cost]])</f>
        <v>261249.99999999951</v>
      </c>
      <c r="L242" s="3">
        <f>SUM(day_cash_behind[[#Headers],[Equipment Cost]]:day_cash_behind[[#This Row],[Equipment Cost]])</f>
        <v>87999.999999999796</v>
      </c>
      <c r="M242" s="3">
        <f>SUM(day_cash_behind[[#Headers],[Sub Cost]]:day_cash_behind[[#This Row],[Sub Cost]])</f>
        <v>730249.99999999872</v>
      </c>
      <c r="N242" s="3">
        <f>SUM(day_cash_behind[[#Headers],[Other Cost]]:day_cash_behind[[#This Row],[Other Cost]])</f>
        <v>58499.999999999847</v>
      </c>
      <c r="O242" s="3">
        <f>SUM(day_cash_behind[[#This Row],[Cumulative Labor]:[Cumulative Other]])</f>
        <v>1732999.9999999977</v>
      </c>
      <c r="P242" s="3">
        <f>SUM(day_cash_behind[[#Headers],[Revenue]]:day_cash_behind[[#This Row],[Revenue]])</f>
        <v>1880921.5454203186</v>
      </c>
    </row>
    <row r="243" spans="2:16" x14ac:dyDescent="0.45">
      <c r="B243" s="1">
        <v>46626</v>
      </c>
      <c r="C243" s="4">
        <f>SUMIFS(schedule[Labor CPP], schedule[Start Date],"&lt;="&amp;day_cash_behind[[#This Row],[Date]], schedule[Finish Date],"&gt;="&amp;day_cash_behind[[#This Row],[Date]])</f>
        <v>0</v>
      </c>
      <c r="D243" s="4">
        <f>SUMIFS(schedule[Material CPP], schedule[Start Date],"&lt;="&amp;day_cash_behind[[#This Row],[Date]]-$D$2, schedule[Finish Date],"&gt;="&amp;day_cash_behind[[#This Row],[Date]]-$D$2)</f>
        <v>0</v>
      </c>
      <c r="E243" s="4">
        <f>SUMIFS(schedule[Equipment CPP], schedule[Start Date],"&lt;="&amp;day_cash_behind[[#This Row],[Date]]-$E$2, schedule[Finish Date],"&gt;="&amp;day_cash_behind[[#This Row],[Date]]-$E$2)</f>
        <v>0</v>
      </c>
      <c r="F243" s="4">
        <f>SUMIFS(schedule[Sub CPP], schedule[Start Date],"&lt;="&amp;day_cash_behind[[#This Row],[Date]]-$F$2, schedule[Finish Date],"&gt;="&amp;day_cash_behind[[#This Row],[Date]]-$F$2)</f>
        <v>0</v>
      </c>
      <c r="G243" s="3">
        <f>SUMIFS(schedule[Other CPP], schedule[Start Date],"&lt;="&amp;day_cash_behind[[#This Row],[Date]]-$G$2, schedule[Finish Date],"&gt;="&amp;day_cash_behind[[#This Row],[Date]]-$G$2)</f>
        <v>0</v>
      </c>
      <c r="H243" s="3">
        <f>SUM(day_cash_behind[[#This Row],[Labor Cost]:[Other Cost]])</f>
        <v>0</v>
      </c>
      <c r="I243" s="3">
        <f>SUMIFS(schedule[Revenue per Day], schedule[Start Date],"&lt;="&amp;day_cash_behind[[#This Row],[Date]]-$I$2, schedule[Finish Date],"&gt;="&amp;day_cash_behind[[#This Row],[Date]]-$I$2)</f>
        <v>23481.705089024716</v>
      </c>
      <c r="J243" s="3">
        <f>SUM(day_cash_behind[[#Headers],[Labor Cost]]:day_cash_behind[[#This Row],[Labor Cost]])</f>
        <v>594999.99999999988</v>
      </c>
      <c r="K243" s="3">
        <f>SUM(day_cash_behind[[#Headers],[Material Cost]]:day_cash_behind[[#This Row],[Material Cost]])</f>
        <v>261249.99999999951</v>
      </c>
      <c r="L243" s="3">
        <f>SUM(day_cash_behind[[#Headers],[Equipment Cost]]:day_cash_behind[[#This Row],[Equipment Cost]])</f>
        <v>87999.999999999796</v>
      </c>
      <c r="M243" s="3">
        <f>SUM(day_cash_behind[[#Headers],[Sub Cost]]:day_cash_behind[[#This Row],[Sub Cost]])</f>
        <v>730249.99999999872</v>
      </c>
      <c r="N243" s="3">
        <f>SUM(day_cash_behind[[#Headers],[Other Cost]]:day_cash_behind[[#This Row],[Other Cost]])</f>
        <v>58499.999999999847</v>
      </c>
      <c r="O243" s="3">
        <f>SUM(day_cash_behind[[#This Row],[Cumulative Labor]:[Cumulative Other]])</f>
        <v>1732999.9999999977</v>
      </c>
      <c r="P243" s="3">
        <f>SUM(day_cash_behind[[#Headers],[Revenue]]:day_cash_behind[[#This Row],[Revenue]])</f>
        <v>1904403.2505093433</v>
      </c>
    </row>
    <row r="244" spans="2:16" x14ac:dyDescent="0.45">
      <c r="B244" s="1">
        <v>46627</v>
      </c>
      <c r="C244" s="4">
        <f>SUMIFS(schedule[Labor CPP], schedule[Start Date],"&lt;="&amp;day_cash_behind[[#This Row],[Date]], schedule[Finish Date],"&gt;="&amp;day_cash_behind[[#This Row],[Date]])</f>
        <v>0</v>
      </c>
      <c r="D244" s="4">
        <f>SUMIFS(schedule[Material CPP], schedule[Start Date],"&lt;="&amp;day_cash_behind[[#This Row],[Date]]-$D$2, schedule[Finish Date],"&gt;="&amp;day_cash_behind[[#This Row],[Date]]-$D$2)</f>
        <v>0</v>
      </c>
      <c r="E244" s="4">
        <f>SUMIFS(schedule[Equipment CPP], schedule[Start Date],"&lt;="&amp;day_cash_behind[[#This Row],[Date]]-$E$2, schedule[Finish Date],"&gt;="&amp;day_cash_behind[[#This Row],[Date]]-$E$2)</f>
        <v>0</v>
      </c>
      <c r="F244" s="4">
        <f>SUMIFS(schedule[Sub CPP], schedule[Start Date],"&lt;="&amp;day_cash_behind[[#This Row],[Date]]-$F$2, schedule[Finish Date],"&gt;="&amp;day_cash_behind[[#This Row],[Date]]-$F$2)</f>
        <v>0</v>
      </c>
      <c r="G244" s="3">
        <f>SUMIFS(schedule[Other CPP], schedule[Start Date],"&lt;="&amp;day_cash_behind[[#This Row],[Date]]-$G$2, schedule[Finish Date],"&gt;="&amp;day_cash_behind[[#This Row],[Date]]-$G$2)</f>
        <v>0</v>
      </c>
      <c r="H244" s="3">
        <f>SUM(day_cash_behind[[#This Row],[Labor Cost]:[Other Cost]])</f>
        <v>0</v>
      </c>
      <c r="I244" s="3">
        <f>SUMIFS(schedule[Revenue per Day], schedule[Start Date],"&lt;="&amp;day_cash_behind[[#This Row],[Date]]-$I$2, schedule[Finish Date],"&gt;="&amp;day_cash_behind[[#This Row],[Date]]-$I$2)</f>
        <v>23481.705089024716</v>
      </c>
      <c r="J244" s="3">
        <f>SUM(day_cash_behind[[#Headers],[Labor Cost]]:day_cash_behind[[#This Row],[Labor Cost]])</f>
        <v>594999.99999999988</v>
      </c>
      <c r="K244" s="3">
        <f>SUM(day_cash_behind[[#Headers],[Material Cost]]:day_cash_behind[[#This Row],[Material Cost]])</f>
        <v>261249.99999999951</v>
      </c>
      <c r="L244" s="3">
        <f>SUM(day_cash_behind[[#Headers],[Equipment Cost]]:day_cash_behind[[#This Row],[Equipment Cost]])</f>
        <v>87999.999999999796</v>
      </c>
      <c r="M244" s="3">
        <f>SUM(day_cash_behind[[#Headers],[Sub Cost]]:day_cash_behind[[#This Row],[Sub Cost]])</f>
        <v>730249.99999999872</v>
      </c>
      <c r="N244" s="3">
        <f>SUM(day_cash_behind[[#Headers],[Other Cost]]:day_cash_behind[[#This Row],[Other Cost]])</f>
        <v>58499.999999999847</v>
      </c>
      <c r="O244" s="3">
        <f>SUM(day_cash_behind[[#This Row],[Cumulative Labor]:[Cumulative Other]])</f>
        <v>1732999.9999999977</v>
      </c>
      <c r="P244" s="3">
        <f>SUM(day_cash_behind[[#Headers],[Revenue]]:day_cash_behind[[#This Row],[Revenue]])</f>
        <v>1927884.9555983681</v>
      </c>
    </row>
    <row r="245" spans="2:16" x14ac:dyDescent="0.45">
      <c r="B245" s="1">
        <v>46628</v>
      </c>
      <c r="C245" s="4">
        <f>SUMIFS(schedule[Labor CPP], schedule[Start Date],"&lt;="&amp;day_cash_behind[[#This Row],[Date]], schedule[Finish Date],"&gt;="&amp;day_cash_behind[[#This Row],[Date]])</f>
        <v>0</v>
      </c>
      <c r="D245" s="4">
        <f>SUMIFS(schedule[Material CPP], schedule[Start Date],"&lt;="&amp;day_cash_behind[[#This Row],[Date]]-$D$2, schedule[Finish Date],"&gt;="&amp;day_cash_behind[[#This Row],[Date]]-$D$2)</f>
        <v>0</v>
      </c>
      <c r="E245" s="4">
        <f>SUMIFS(schedule[Equipment CPP], schedule[Start Date],"&lt;="&amp;day_cash_behind[[#This Row],[Date]]-$E$2, schedule[Finish Date],"&gt;="&amp;day_cash_behind[[#This Row],[Date]]-$E$2)</f>
        <v>0</v>
      </c>
      <c r="F245" s="4">
        <f>SUMIFS(schedule[Sub CPP], schedule[Start Date],"&lt;="&amp;day_cash_behind[[#This Row],[Date]]-$F$2, schedule[Finish Date],"&gt;="&amp;day_cash_behind[[#This Row],[Date]]-$F$2)</f>
        <v>0</v>
      </c>
      <c r="G245" s="3">
        <f>SUMIFS(schedule[Other CPP], schedule[Start Date],"&lt;="&amp;day_cash_behind[[#This Row],[Date]]-$G$2, schedule[Finish Date],"&gt;="&amp;day_cash_behind[[#This Row],[Date]]-$G$2)</f>
        <v>0</v>
      </c>
      <c r="H245" s="3">
        <f>SUM(day_cash_behind[[#This Row],[Labor Cost]:[Other Cost]])</f>
        <v>0</v>
      </c>
      <c r="I245" s="3">
        <f>SUMIFS(schedule[Revenue per Day], schedule[Start Date],"&lt;="&amp;day_cash_behind[[#This Row],[Date]]-$I$2, schedule[Finish Date],"&gt;="&amp;day_cash_behind[[#This Row],[Date]]-$I$2)</f>
        <v>23481.705089024716</v>
      </c>
      <c r="J245" s="3">
        <f>SUM(day_cash_behind[[#Headers],[Labor Cost]]:day_cash_behind[[#This Row],[Labor Cost]])</f>
        <v>594999.99999999988</v>
      </c>
      <c r="K245" s="3">
        <f>SUM(day_cash_behind[[#Headers],[Material Cost]]:day_cash_behind[[#This Row],[Material Cost]])</f>
        <v>261249.99999999951</v>
      </c>
      <c r="L245" s="3">
        <f>SUM(day_cash_behind[[#Headers],[Equipment Cost]]:day_cash_behind[[#This Row],[Equipment Cost]])</f>
        <v>87999.999999999796</v>
      </c>
      <c r="M245" s="3">
        <f>SUM(day_cash_behind[[#Headers],[Sub Cost]]:day_cash_behind[[#This Row],[Sub Cost]])</f>
        <v>730249.99999999872</v>
      </c>
      <c r="N245" s="3">
        <f>SUM(day_cash_behind[[#Headers],[Other Cost]]:day_cash_behind[[#This Row],[Other Cost]])</f>
        <v>58499.999999999847</v>
      </c>
      <c r="O245" s="3">
        <f>SUM(day_cash_behind[[#This Row],[Cumulative Labor]:[Cumulative Other]])</f>
        <v>1732999.9999999977</v>
      </c>
      <c r="P245" s="3">
        <f>SUM(day_cash_behind[[#Headers],[Revenue]]:day_cash_behind[[#This Row],[Revenue]])</f>
        <v>1951366.6606873928</v>
      </c>
    </row>
    <row r="246" spans="2:16" x14ac:dyDescent="0.45">
      <c r="B246" s="1">
        <v>46629</v>
      </c>
      <c r="C246" s="4">
        <f>SUMIFS(schedule[Labor CPP], schedule[Start Date],"&lt;="&amp;day_cash_behind[[#This Row],[Date]], schedule[Finish Date],"&gt;="&amp;day_cash_behind[[#This Row],[Date]])</f>
        <v>0</v>
      </c>
      <c r="D246" s="4">
        <f>SUMIFS(schedule[Material CPP], schedule[Start Date],"&lt;="&amp;day_cash_behind[[#This Row],[Date]]-$D$2, schedule[Finish Date],"&gt;="&amp;day_cash_behind[[#This Row],[Date]]-$D$2)</f>
        <v>0</v>
      </c>
      <c r="E246" s="4">
        <f>SUMIFS(schedule[Equipment CPP], schedule[Start Date],"&lt;="&amp;day_cash_behind[[#This Row],[Date]]-$E$2, schedule[Finish Date],"&gt;="&amp;day_cash_behind[[#This Row],[Date]]-$E$2)</f>
        <v>0</v>
      </c>
      <c r="F246" s="4">
        <f>SUMIFS(schedule[Sub CPP], schedule[Start Date],"&lt;="&amp;day_cash_behind[[#This Row],[Date]]-$F$2, schedule[Finish Date],"&gt;="&amp;day_cash_behind[[#This Row],[Date]]-$F$2)</f>
        <v>0</v>
      </c>
      <c r="G246" s="3">
        <f>SUMIFS(schedule[Other CPP], schedule[Start Date],"&lt;="&amp;day_cash_behind[[#This Row],[Date]]-$G$2, schedule[Finish Date],"&gt;="&amp;day_cash_behind[[#This Row],[Date]]-$G$2)</f>
        <v>0</v>
      </c>
      <c r="H246" s="3">
        <f>SUM(day_cash_behind[[#This Row],[Labor Cost]:[Other Cost]])</f>
        <v>0</v>
      </c>
      <c r="I246" s="3">
        <f>SUMIFS(schedule[Revenue per Day], schedule[Start Date],"&lt;="&amp;day_cash_behind[[#This Row],[Date]]-$I$2, schedule[Finish Date],"&gt;="&amp;day_cash_behind[[#This Row],[Date]]-$I$2)</f>
        <v>23481.705089024716</v>
      </c>
      <c r="J246" s="3">
        <f>SUM(day_cash_behind[[#Headers],[Labor Cost]]:day_cash_behind[[#This Row],[Labor Cost]])</f>
        <v>594999.99999999988</v>
      </c>
      <c r="K246" s="3">
        <f>SUM(day_cash_behind[[#Headers],[Material Cost]]:day_cash_behind[[#This Row],[Material Cost]])</f>
        <v>261249.99999999951</v>
      </c>
      <c r="L246" s="3">
        <f>SUM(day_cash_behind[[#Headers],[Equipment Cost]]:day_cash_behind[[#This Row],[Equipment Cost]])</f>
        <v>87999.999999999796</v>
      </c>
      <c r="M246" s="3">
        <f>SUM(day_cash_behind[[#Headers],[Sub Cost]]:day_cash_behind[[#This Row],[Sub Cost]])</f>
        <v>730249.99999999872</v>
      </c>
      <c r="N246" s="3">
        <f>SUM(day_cash_behind[[#Headers],[Other Cost]]:day_cash_behind[[#This Row],[Other Cost]])</f>
        <v>58499.999999999847</v>
      </c>
      <c r="O246" s="3">
        <f>SUM(day_cash_behind[[#This Row],[Cumulative Labor]:[Cumulative Other]])</f>
        <v>1732999.9999999977</v>
      </c>
      <c r="P246" s="3">
        <f>SUM(day_cash_behind[[#Headers],[Revenue]]:day_cash_behind[[#This Row],[Revenue]])</f>
        <v>1974848.3657764175</v>
      </c>
    </row>
    <row r="247" spans="2:16" x14ac:dyDescent="0.45">
      <c r="B247" s="1">
        <v>46630</v>
      </c>
      <c r="C247" s="4">
        <f>SUMIFS(schedule[Labor CPP], schedule[Start Date],"&lt;="&amp;day_cash_behind[[#This Row],[Date]], schedule[Finish Date],"&gt;="&amp;day_cash_behind[[#This Row],[Date]])</f>
        <v>0</v>
      </c>
      <c r="D247" s="4">
        <f>SUMIFS(schedule[Material CPP], schedule[Start Date],"&lt;="&amp;day_cash_behind[[#This Row],[Date]]-$D$2, schedule[Finish Date],"&gt;="&amp;day_cash_behind[[#This Row],[Date]]-$D$2)</f>
        <v>0</v>
      </c>
      <c r="E247" s="4">
        <f>SUMIFS(schedule[Equipment CPP], schedule[Start Date],"&lt;="&amp;day_cash_behind[[#This Row],[Date]]-$E$2, schedule[Finish Date],"&gt;="&amp;day_cash_behind[[#This Row],[Date]]-$E$2)</f>
        <v>0</v>
      </c>
      <c r="F247" s="4">
        <f>SUMIFS(schedule[Sub CPP], schedule[Start Date],"&lt;="&amp;day_cash_behind[[#This Row],[Date]]-$F$2, schedule[Finish Date],"&gt;="&amp;day_cash_behind[[#This Row],[Date]]-$F$2)</f>
        <v>0</v>
      </c>
      <c r="G247" s="3">
        <f>SUMIFS(schedule[Other CPP], schedule[Start Date],"&lt;="&amp;day_cash_behind[[#This Row],[Date]]-$G$2, schedule[Finish Date],"&gt;="&amp;day_cash_behind[[#This Row],[Date]]-$G$2)</f>
        <v>0</v>
      </c>
      <c r="H247" s="3">
        <f>SUM(day_cash_behind[[#This Row],[Labor Cost]:[Other Cost]])</f>
        <v>0</v>
      </c>
      <c r="I247" s="3">
        <f>SUMIFS(schedule[Revenue per Day], schedule[Start Date],"&lt;="&amp;day_cash_behind[[#This Row],[Date]]-$I$2, schedule[Finish Date],"&gt;="&amp;day_cash_behind[[#This Row],[Date]]-$I$2)</f>
        <v>23481.705089024716</v>
      </c>
      <c r="J247" s="3">
        <f>SUM(day_cash_behind[[#Headers],[Labor Cost]]:day_cash_behind[[#This Row],[Labor Cost]])</f>
        <v>594999.99999999988</v>
      </c>
      <c r="K247" s="3">
        <f>SUM(day_cash_behind[[#Headers],[Material Cost]]:day_cash_behind[[#This Row],[Material Cost]])</f>
        <v>261249.99999999951</v>
      </c>
      <c r="L247" s="3">
        <f>SUM(day_cash_behind[[#Headers],[Equipment Cost]]:day_cash_behind[[#This Row],[Equipment Cost]])</f>
        <v>87999.999999999796</v>
      </c>
      <c r="M247" s="3">
        <f>SUM(day_cash_behind[[#Headers],[Sub Cost]]:day_cash_behind[[#This Row],[Sub Cost]])</f>
        <v>730249.99999999872</v>
      </c>
      <c r="N247" s="3">
        <f>SUM(day_cash_behind[[#Headers],[Other Cost]]:day_cash_behind[[#This Row],[Other Cost]])</f>
        <v>58499.999999999847</v>
      </c>
      <c r="O247" s="3">
        <f>SUM(day_cash_behind[[#This Row],[Cumulative Labor]:[Cumulative Other]])</f>
        <v>1732999.9999999977</v>
      </c>
      <c r="P247" s="3">
        <f>SUM(day_cash_behind[[#Headers],[Revenue]]:day_cash_behind[[#This Row],[Revenue]])</f>
        <v>1998330.0708654423</v>
      </c>
    </row>
    <row r="248" spans="2:16" x14ac:dyDescent="0.45">
      <c r="B248" s="1">
        <v>46631</v>
      </c>
      <c r="C248" s="4">
        <f>SUMIFS(schedule[Labor CPP], schedule[Start Date],"&lt;="&amp;day_cash_behind[[#This Row],[Date]], schedule[Finish Date],"&gt;="&amp;day_cash_behind[[#This Row],[Date]])</f>
        <v>0</v>
      </c>
      <c r="D248" s="4">
        <f>SUMIFS(schedule[Material CPP], schedule[Start Date],"&lt;="&amp;day_cash_behind[[#This Row],[Date]]-$D$2, schedule[Finish Date],"&gt;="&amp;day_cash_behind[[#This Row],[Date]]-$D$2)</f>
        <v>0</v>
      </c>
      <c r="E248" s="4">
        <f>SUMIFS(schedule[Equipment CPP], schedule[Start Date],"&lt;="&amp;day_cash_behind[[#This Row],[Date]]-$E$2, schedule[Finish Date],"&gt;="&amp;day_cash_behind[[#This Row],[Date]]-$E$2)</f>
        <v>0</v>
      </c>
      <c r="F248" s="4">
        <f>SUMIFS(schedule[Sub CPP], schedule[Start Date],"&lt;="&amp;day_cash_behind[[#This Row],[Date]]-$F$2, schedule[Finish Date],"&gt;="&amp;day_cash_behind[[#This Row],[Date]]-$F$2)</f>
        <v>0</v>
      </c>
      <c r="G248" s="3">
        <f>SUMIFS(schedule[Other CPP], schedule[Start Date],"&lt;="&amp;day_cash_behind[[#This Row],[Date]]-$G$2, schedule[Finish Date],"&gt;="&amp;day_cash_behind[[#This Row],[Date]]-$G$2)</f>
        <v>0</v>
      </c>
      <c r="H248" s="3">
        <f>SUM(day_cash_behind[[#This Row],[Labor Cost]:[Other Cost]])</f>
        <v>0</v>
      </c>
      <c r="I248" s="3">
        <f>SUMIFS(schedule[Revenue per Day], schedule[Start Date],"&lt;="&amp;day_cash_behind[[#This Row],[Date]]-$I$2, schedule[Finish Date],"&gt;="&amp;day_cash_behind[[#This Row],[Date]]-$I$2)</f>
        <v>23481.705089024716</v>
      </c>
      <c r="J248" s="3">
        <f>SUM(day_cash_behind[[#Headers],[Labor Cost]]:day_cash_behind[[#This Row],[Labor Cost]])</f>
        <v>594999.99999999988</v>
      </c>
      <c r="K248" s="3">
        <f>SUM(day_cash_behind[[#Headers],[Material Cost]]:day_cash_behind[[#This Row],[Material Cost]])</f>
        <v>261249.99999999951</v>
      </c>
      <c r="L248" s="3">
        <f>SUM(day_cash_behind[[#Headers],[Equipment Cost]]:day_cash_behind[[#This Row],[Equipment Cost]])</f>
        <v>87999.999999999796</v>
      </c>
      <c r="M248" s="3">
        <f>SUM(day_cash_behind[[#Headers],[Sub Cost]]:day_cash_behind[[#This Row],[Sub Cost]])</f>
        <v>730249.99999999872</v>
      </c>
      <c r="N248" s="3">
        <f>SUM(day_cash_behind[[#Headers],[Other Cost]]:day_cash_behind[[#This Row],[Other Cost]])</f>
        <v>58499.999999999847</v>
      </c>
      <c r="O248" s="3">
        <f>SUM(day_cash_behind[[#This Row],[Cumulative Labor]:[Cumulative Other]])</f>
        <v>1732999.9999999977</v>
      </c>
      <c r="P248" s="3">
        <f>SUM(day_cash_behind[[#Headers],[Revenue]]:day_cash_behind[[#This Row],[Revenue]])</f>
        <v>2021811.775954467</v>
      </c>
    </row>
    <row r="249" spans="2:16" x14ac:dyDescent="0.45">
      <c r="B249" s="1">
        <v>46632</v>
      </c>
      <c r="C249" s="4">
        <f>SUMIFS(schedule[Labor CPP], schedule[Start Date],"&lt;="&amp;day_cash_behind[[#This Row],[Date]], schedule[Finish Date],"&gt;="&amp;day_cash_behind[[#This Row],[Date]])</f>
        <v>0</v>
      </c>
      <c r="D249" s="4">
        <f>SUMIFS(schedule[Material CPP], schedule[Start Date],"&lt;="&amp;day_cash_behind[[#This Row],[Date]]-$D$2, schedule[Finish Date],"&gt;="&amp;day_cash_behind[[#This Row],[Date]]-$D$2)</f>
        <v>0</v>
      </c>
      <c r="E249" s="4">
        <f>SUMIFS(schedule[Equipment CPP], schedule[Start Date],"&lt;="&amp;day_cash_behind[[#This Row],[Date]]-$E$2, schedule[Finish Date],"&gt;="&amp;day_cash_behind[[#This Row],[Date]]-$E$2)</f>
        <v>0</v>
      </c>
      <c r="F249" s="4">
        <f>SUMIFS(schedule[Sub CPP], schedule[Start Date],"&lt;="&amp;day_cash_behind[[#This Row],[Date]]-$F$2, schedule[Finish Date],"&gt;="&amp;day_cash_behind[[#This Row],[Date]]-$F$2)</f>
        <v>0</v>
      </c>
      <c r="G249" s="3">
        <f>SUMIFS(schedule[Other CPP], schedule[Start Date],"&lt;="&amp;day_cash_behind[[#This Row],[Date]]-$G$2, schedule[Finish Date],"&gt;="&amp;day_cash_behind[[#This Row],[Date]]-$G$2)</f>
        <v>0</v>
      </c>
      <c r="H249" s="3">
        <f>SUM(day_cash_behind[[#This Row],[Labor Cost]:[Other Cost]])</f>
        <v>0</v>
      </c>
      <c r="I249" s="3">
        <f>SUMIFS(schedule[Revenue per Day], schedule[Start Date],"&lt;="&amp;day_cash_behind[[#This Row],[Date]]-$I$2, schedule[Finish Date],"&gt;="&amp;day_cash_behind[[#This Row],[Date]]-$I$2)</f>
        <v>23481.705089024716</v>
      </c>
      <c r="J249" s="3">
        <f>SUM(day_cash_behind[[#Headers],[Labor Cost]]:day_cash_behind[[#This Row],[Labor Cost]])</f>
        <v>594999.99999999988</v>
      </c>
      <c r="K249" s="3">
        <f>SUM(day_cash_behind[[#Headers],[Material Cost]]:day_cash_behind[[#This Row],[Material Cost]])</f>
        <v>261249.99999999951</v>
      </c>
      <c r="L249" s="3">
        <f>SUM(day_cash_behind[[#Headers],[Equipment Cost]]:day_cash_behind[[#This Row],[Equipment Cost]])</f>
        <v>87999.999999999796</v>
      </c>
      <c r="M249" s="3">
        <f>SUM(day_cash_behind[[#Headers],[Sub Cost]]:day_cash_behind[[#This Row],[Sub Cost]])</f>
        <v>730249.99999999872</v>
      </c>
      <c r="N249" s="3">
        <f>SUM(day_cash_behind[[#Headers],[Other Cost]]:day_cash_behind[[#This Row],[Other Cost]])</f>
        <v>58499.999999999847</v>
      </c>
      <c r="O249" s="3">
        <f>SUM(day_cash_behind[[#This Row],[Cumulative Labor]:[Cumulative Other]])</f>
        <v>1732999.9999999977</v>
      </c>
      <c r="P249" s="3">
        <f>SUM(day_cash_behind[[#Headers],[Revenue]]:day_cash_behind[[#This Row],[Revenue]])</f>
        <v>2045293.4810434917</v>
      </c>
    </row>
    <row r="250" spans="2:16" x14ac:dyDescent="0.45">
      <c r="B250" s="1">
        <v>46633</v>
      </c>
      <c r="C250" s="4">
        <f>SUMIFS(schedule[Labor CPP], schedule[Start Date],"&lt;="&amp;day_cash_behind[[#This Row],[Date]], schedule[Finish Date],"&gt;="&amp;day_cash_behind[[#This Row],[Date]])</f>
        <v>0</v>
      </c>
      <c r="D250" s="4">
        <f>SUMIFS(schedule[Material CPP], schedule[Start Date],"&lt;="&amp;day_cash_behind[[#This Row],[Date]]-$D$2, schedule[Finish Date],"&gt;="&amp;day_cash_behind[[#This Row],[Date]]-$D$2)</f>
        <v>0</v>
      </c>
      <c r="E250" s="4">
        <f>SUMIFS(schedule[Equipment CPP], schedule[Start Date],"&lt;="&amp;day_cash_behind[[#This Row],[Date]]-$E$2, schedule[Finish Date],"&gt;="&amp;day_cash_behind[[#This Row],[Date]]-$E$2)</f>
        <v>0</v>
      </c>
      <c r="F250" s="4">
        <f>SUMIFS(schedule[Sub CPP], schedule[Start Date],"&lt;="&amp;day_cash_behind[[#This Row],[Date]]-$F$2, schedule[Finish Date],"&gt;="&amp;day_cash_behind[[#This Row],[Date]]-$F$2)</f>
        <v>0</v>
      </c>
      <c r="G250" s="3">
        <f>SUMIFS(schedule[Other CPP], schedule[Start Date],"&lt;="&amp;day_cash_behind[[#This Row],[Date]]-$G$2, schedule[Finish Date],"&gt;="&amp;day_cash_behind[[#This Row],[Date]]-$G$2)</f>
        <v>0</v>
      </c>
      <c r="H250" s="3">
        <f>SUM(day_cash_behind[[#This Row],[Labor Cost]:[Other Cost]])</f>
        <v>0</v>
      </c>
      <c r="I250" s="3">
        <f>SUMIFS(schedule[Revenue per Day], schedule[Start Date],"&lt;="&amp;day_cash_behind[[#This Row],[Date]]-$I$2, schedule[Finish Date],"&gt;="&amp;day_cash_behind[[#This Row],[Date]]-$I$2)</f>
        <v>8346.2884223580477</v>
      </c>
      <c r="J250" s="3">
        <f>SUM(day_cash_behind[[#Headers],[Labor Cost]]:day_cash_behind[[#This Row],[Labor Cost]])</f>
        <v>594999.99999999988</v>
      </c>
      <c r="K250" s="3">
        <f>SUM(day_cash_behind[[#Headers],[Material Cost]]:day_cash_behind[[#This Row],[Material Cost]])</f>
        <v>261249.99999999951</v>
      </c>
      <c r="L250" s="3">
        <f>SUM(day_cash_behind[[#Headers],[Equipment Cost]]:day_cash_behind[[#This Row],[Equipment Cost]])</f>
        <v>87999.999999999796</v>
      </c>
      <c r="M250" s="3">
        <f>SUM(day_cash_behind[[#Headers],[Sub Cost]]:day_cash_behind[[#This Row],[Sub Cost]])</f>
        <v>730249.99999999872</v>
      </c>
      <c r="N250" s="3">
        <f>SUM(day_cash_behind[[#Headers],[Other Cost]]:day_cash_behind[[#This Row],[Other Cost]])</f>
        <v>58499.999999999847</v>
      </c>
      <c r="O250" s="3">
        <f>SUM(day_cash_behind[[#This Row],[Cumulative Labor]:[Cumulative Other]])</f>
        <v>1732999.9999999977</v>
      </c>
      <c r="P250" s="3">
        <f>SUM(day_cash_behind[[#Headers],[Revenue]]:day_cash_behind[[#This Row],[Revenue]])</f>
        <v>2053639.7694658497</v>
      </c>
    </row>
    <row r="251" spans="2:16" x14ac:dyDescent="0.45">
      <c r="B251" s="1">
        <v>46634</v>
      </c>
      <c r="C251" s="4">
        <f>SUMIFS(schedule[Labor CPP], schedule[Start Date],"&lt;="&amp;day_cash_behind[[#This Row],[Date]], schedule[Finish Date],"&gt;="&amp;day_cash_behind[[#This Row],[Date]])</f>
        <v>0</v>
      </c>
      <c r="D251" s="4">
        <f>SUMIFS(schedule[Material CPP], schedule[Start Date],"&lt;="&amp;day_cash_behind[[#This Row],[Date]]-$D$2, schedule[Finish Date],"&gt;="&amp;day_cash_behind[[#This Row],[Date]]-$D$2)</f>
        <v>0</v>
      </c>
      <c r="E251" s="4">
        <f>SUMIFS(schedule[Equipment CPP], schedule[Start Date],"&lt;="&amp;day_cash_behind[[#This Row],[Date]]-$E$2, schedule[Finish Date],"&gt;="&amp;day_cash_behind[[#This Row],[Date]]-$E$2)</f>
        <v>0</v>
      </c>
      <c r="F251" s="4">
        <f>SUMIFS(schedule[Sub CPP], schedule[Start Date],"&lt;="&amp;day_cash_behind[[#This Row],[Date]]-$F$2, schedule[Finish Date],"&gt;="&amp;day_cash_behind[[#This Row],[Date]]-$F$2)</f>
        <v>0</v>
      </c>
      <c r="G251" s="3">
        <f>SUMIFS(schedule[Other CPP], schedule[Start Date],"&lt;="&amp;day_cash_behind[[#This Row],[Date]]-$G$2, schedule[Finish Date],"&gt;="&amp;day_cash_behind[[#This Row],[Date]]-$G$2)</f>
        <v>0</v>
      </c>
      <c r="H251" s="3">
        <f>SUM(day_cash_behind[[#This Row],[Labor Cost]:[Other Cost]])</f>
        <v>0</v>
      </c>
      <c r="I251" s="3">
        <f>SUMIFS(schedule[Revenue per Day], schedule[Start Date],"&lt;="&amp;day_cash_behind[[#This Row],[Date]]-$I$2, schedule[Finish Date],"&gt;="&amp;day_cash_behind[[#This Row],[Date]]-$I$2)</f>
        <v>8346.2884223580477</v>
      </c>
      <c r="J251" s="3">
        <f>SUM(day_cash_behind[[#Headers],[Labor Cost]]:day_cash_behind[[#This Row],[Labor Cost]])</f>
        <v>594999.99999999988</v>
      </c>
      <c r="K251" s="3">
        <f>SUM(day_cash_behind[[#Headers],[Material Cost]]:day_cash_behind[[#This Row],[Material Cost]])</f>
        <v>261249.99999999951</v>
      </c>
      <c r="L251" s="3">
        <f>SUM(day_cash_behind[[#Headers],[Equipment Cost]]:day_cash_behind[[#This Row],[Equipment Cost]])</f>
        <v>87999.999999999796</v>
      </c>
      <c r="M251" s="3">
        <f>SUM(day_cash_behind[[#Headers],[Sub Cost]]:day_cash_behind[[#This Row],[Sub Cost]])</f>
        <v>730249.99999999872</v>
      </c>
      <c r="N251" s="3">
        <f>SUM(day_cash_behind[[#Headers],[Other Cost]]:day_cash_behind[[#This Row],[Other Cost]])</f>
        <v>58499.999999999847</v>
      </c>
      <c r="O251" s="3">
        <f>SUM(day_cash_behind[[#This Row],[Cumulative Labor]:[Cumulative Other]])</f>
        <v>1732999.9999999977</v>
      </c>
      <c r="P251" s="3">
        <f>SUM(day_cash_behind[[#Headers],[Revenue]]:day_cash_behind[[#This Row],[Revenue]])</f>
        <v>2061986.0578882077</v>
      </c>
    </row>
    <row r="252" spans="2:16" x14ac:dyDescent="0.45">
      <c r="B252" s="1">
        <v>46635</v>
      </c>
      <c r="C252" s="4">
        <f>SUMIFS(schedule[Labor CPP], schedule[Start Date],"&lt;="&amp;day_cash_behind[[#This Row],[Date]], schedule[Finish Date],"&gt;="&amp;day_cash_behind[[#This Row],[Date]])</f>
        <v>0</v>
      </c>
      <c r="D252" s="4">
        <f>SUMIFS(schedule[Material CPP], schedule[Start Date],"&lt;="&amp;day_cash_behind[[#This Row],[Date]]-$D$2, schedule[Finish Date],"&gt;="&amp;day_cash_behind[[#This Row],[Date]]-$D$2)</f>
        <v>0</v>
      </c>
      <c r="E252" s="4">
        <f>SUMIFS(schedule[Equipment CPP], schedule[Start Date],"&lt;="&amp;day_cash_behind[[#This Row],[Date]]-$E$2, schedule[Finish Date],"&gt;="&amp;day_cash_behind[[#This Row],[Date]]-$E$2)</f>
        <v>0</v>
      </c>
      <c r="F252" s="4">
        <f>SUMIFS(schedule[Sub CPP], schedule[Start Date],"&lt;="&amp;day_cash_behind[[#This Row],[Date]]-$F$2, schedule[Finish Date],"&gt;="&amp;day_cash_behind[[#This Row],[Date]]-$F$2)</f>
        <v>0</v>
      </c>
      <c r="G252" s="3">
        <f>SUMIFS(schedule[Other CPP], schedule[Start Date],"&lt;="&amp;day_cash_behind[[#This Row],[Date]]-$G$2, schedule[Finish Date],"&gt;="&amp;day_cash_behind[[#This Row],[Date]]-$G$2)</f>
        <v>0</v>
      </c>
      <c r="H252" s="3">
        <f>SUM(day_cash_behind[[#This Row],[Labor Cost]:[Other Cost]])</f>
        <v>0</v>
      </c>
      <c r="I252" s="3">
        <f>SUMIFS(schedule[Revenue per Day], schedule[Start Date],"&lt;="&amp;day_cash_behind[[#This Row],[Date]]-$I$2, schedule[Finish Date],"&gt;="&amp;day_cash_behind[[#This Row],[Date]]-$I$2)</f>
        <v>8346.2884223580477</v>
      </c>
      <c r="J252" s="3">
        <f>SUM(day_cash_behind[[#Headers],[Labor Cost]]:day_cash_behind[[#This Row],[Labor Cost]])</f>
        <v>594999.99999999988</v>
      </c>
      <c r="K252" s="3">
        <f>SUM(day_cash_behind[[#Headers],[Material Cost]]:day_cash_behind[[#This Row],[Material Cost]])</f>
        <v>261249.99999999951</v>
      </c>
      <c r="L252" s="3">
        <f>SUM(day_cash_behind[[#Headers],[Equipment Cost]]:day_cash_behind[[#This Row],[Equipment Cost]])</f>
        <v>87999.999999999796</v>
      </c>
      <c r="M252" s="3">
        <f>SUM(day_cash_behind[[#Headers],[Sub Cost]]:day_cash_behind[[#This Row],[Sub Cost]])</f>
        <v>730249.99999999872</v>
      </c>
      <c r="N252" s="3">
        <f>SUM(day_cash_behind[[#Headers],[Other Cost]]:day_cash_behind[[#This Row],[Other Cost]])</f>
        <v>58499.999999999847</v>
      </c>
      <c r="O252" s="3">
        <f>SUM(day_cash_behind[[#This Row],[Cumulative Labor]:[Cumulative Other]])</f>
        <v>1732999.9999999977</v>
      </c>
      <c r="P252" s="3">
        <f>SUM(day_cash_behind[[#Headers],[Revenue]]:day_cash_behind[[#This Row],[Revenue]])</f>
        <v>2070332.3463105657</v>
      </c>
    </row>
    <row r="253" spans="2:16" x14ac:dyDescent="0.45">
      <c r="B253" s="1">
        <v>46636</v>
      </c>
      <c r="C253" s="4">
        <f>SUMIFS(schedule[Labor CPP], schedule[Start Date],"&lt;="&amp;day_cash_behind[[#This Row],[Date]], schedule[Finish Date],"&gt;="&amp;day_cash_behind[[#This Row],[Date]])</f>
        <v>0</v>
      </c>
      <c r="D253" s="4">
        <f>SUMIFS(schedule[Material CPP], schedule[Start Date],"&lt;="&amp;day_cash_behind[[#This Row],[Date]]-$D$2, schedule[Finish Date],"&gt;="&amp;day_cash_behind[[#This Row],[Date]]-$D$2)</f>
        <v>0</v>
      </c>
      <c r="E253" s="4">
        <f>SUMIFS(schedule[Equipment CPP], schedule[Start Date],"&lt;="&amp;day_cash_behind[[#This Row],[Date]]-$E$2, schedule[Finish Date],"&gt;="&amp;day_cash_behind[[#This Row],[Date]]-$E$2)</f>
        <v>0</v>
      </c>
      <c r="F253" s="4">
        <f>SUMIFS(schedule[Sub CPP], schedule[Start Date],"&lt;="&amp;day_cash_behind[[#This Row],[Date]]-$F$2, schedule[Finish Date],"&gt;="&amp;day_cash_behind[[#This Row],[Date]]-$F$2)</f>
        <v>0</v>
      </c>
      <c r="G253" s="3">
        <f>SUMIFS(schedule[Other CPP], schedule[Start Date],"&lt;="&amp;day_cash_behind[[#This Row],[Date]]-$G$2, schedule[Finish Date],"&gt;="&amp;day_cash_behind[[#This Row],[Date]]-$G$2)</f>
        <v>0</v>
      </c>
      <c r="H253" s="3">
        <f>SUM(day_cash_behind[[#This Row],[Labor Cost]:[Other Cost]])</f>
        <v>0</v>
      </c>
      <c r="I253" s="3">
        <f>SUMIFS(schedule[Revenue per Day], schedule[Start Date],"&lt;="&amp;day_cash_behind[[#This Row],[Date]]-$I$2, schedule[Finish Date],"&gt;="&amp;day_cash_behind[[#This Row],[Date]]-$I$2)</f>
        <v>8346.2884223580477</v>
      </c>
      <c r="J253" s="3">
        <f>SUM(day_cash_behind[[#Headers],[Labor Cost]]:day_cash_behind[[#This Row],[Labor Cost]])</f>
        <v>594999.99999999988</v>
      </c>
      <c r="K253" s="3">
        <f>SUM(day_cash_behind[[#Headers],[Material Cost]]:day_cash_behind[[#This Row],[Material Cost]])</f>
        <v>261249.99999999951</v>
      </c>
      <c r="L253" s="3">
        <f>SUM(day_cash_behind[[#Headers],[Equipment Cost]]:day_cash_behind[[#This Row],[Equipment Cost]])</f>
        <v>87999.999999999796</v>
      </c>
      <c r="M253" s="3">
        <f>SUM(day_cash_behind[[#Headers],[Sub Cost]]:day_cash_behind[[#This Row],[Sub Cost]])</f>
        <v>730249.99999999872</v>
      </c>
      <c r="N253" s="3">
        <f>SUM(day_cash_behind[[#Headers],[Other Cost]]:day_cash_behind[[#This Row],[Other Cost]])</f>
        <v>58499.999999999847</v>
      </c>
      <c r="O253" s="3">
        <f>SUM(day_cash_behind[[#This Row],[Cumulative Labor]:[Cumulative Other]])</f>
        <v>1732999.9999999977</v>
      </c>
      <c r="P253" s="3">
        <f>SUM(day_cash_behind[[#Headers],[Revenue]]:day_cash_behind[[#This Row],[Revenue]])</f>
        <v>2078678.6347329237</v>
      </c>
    </row>
    <row r="254" spans="2:16" x14ac:dyDescent="0.45">
      <c r="B254" s="1">
        <v>46637</v>
      </c>
      <c r="C254" s="4">
        <f>SUMIFS(schedule[Labor CPP], schedule[Start Date],"&lt;="&amp;day_cash_behind[[#This Row],[Date]], schedule[Finish Date],"&gt;="&amp;day_cash_behind[[#This Row],[Date]])</f>
        <v>0</v>
      </c>
      <c r="D254" s="4">
        <f>SUMIFS(schedule[Material CPP], schedule[Start Date],"&lt;="&amp;day_cash_behind[[#This Row],[Date]]-$D$2, schedule[Finish Date],"&gt;="&amp;day_cash_behind[[#This Row],[Date]]-$D$2)</f>
        <v>0</v>
      </c>
      <c r="E254" s="4">
        <f>SUMIFS(schedule[Equipment CPP], schedule[Start Date],"&lt;="&amp;day_cash_behind[[#This Row],[Date]]-$E$2, schedule[Finish Date],"&gt;="&amp;day_cash_behind[[#This Row],[Date]]-$E$2)</f>
        <v>0</v>
      </c>
      <c r="F254" s="4">
        <f>SUMIFS(schedule[Sub CPP], schedule[Start Date],"&lt;="&amp;day_cash_behind[[#This Row],[Date]]-$F$2, schedule[Finish Date],"&gt;="&amp;day_cash_behind[[#This Row],[Date]]-$F$2)</f>
        <v>0</v>
      </c>
      <c r="G254" s="3">
        <f>SUMIFS(schedule[Other CPP], schedule[Start Date],"&lt;="&amp;day_cash_behind[[#This Row],[Date]]-$G$2, schedule[Finish Date],"&gt;="&amp;day_cash_behind[[#This Row],[Date]]-$G$2)</f>
        <v>0</v>
      </c>
      <c r="H254" s="3">
        <f>SUM(day_cash_behind[[#This Row],[Labor Cost]:[Other Cost]])</f>
        <v>0</v>
      </c>
      <c r="I254" s="3">
        <f>SUMIFS(schedule[Revenue per Day], schedule[Start Date],"&lt;="&amp;day_cash_behind[[#This Row],[Date]]-$I$2, schedule[Finish Date],"&gt;="&amp;day_cash_behind[[#This Row],[Date]]-$I$2)</f>
        <v>8346.2884223580477</v>
      </c>
      <c r="J254" s="3">
        <f>SUM(day_cash_behind[[#Headers],[Labor Cost]]:day_cash_behind[[#This Row],[Labor Cost]])</f>
        <v>594999.99999999988</v>
      </c>
      <c r="K254" s="3">
        <f>SUM(day_cash_behind[[#Headers],[Material Cost]]:day_cash_behind[[#This Row],[Material Cost]])</f>
        <v>261249.99999999951</v>
      </c>
      <c r="L254" s="3">
        <f>SUM(day_cash_behind[[#Headers],[Equipment Cost]]:day_cash_behind[[#This Row],[Equipment Cost]])</f>
        <v>87999.999999999796</v>
      </c>
      <c r="M254" s="3">
        <f>SUM(day_cash_behind[[#Headers],[Sub Cost]]:day_cash_behind[[#This Row],[Sub Cost]])</f>
        <v>730249.99999999872</v>
      </c>
      <c r="N254" s="3">
        <f>SUM(day_cash_behind[[#Headers],[Other Cost]]:day_cash_behind[[#This Row],[Other Cost]])</f>
        <v>58499.999999999847</v>
      </c>
      <c r="O254" s="3">
        <f>SUM(day_cash_behind[[#This Row],[Cumulative Labor]:[Cumulative Other]])</f>
        <v>1732999.9999999977</v>
      </c>
      <c r="P254" s="3">
        <f>SUM(day_cash_behind[[#Headers],[Revenue]]:day_cash_behind[[#This Row],[Revenue]])</f>
        <v>2087024.9231552817</v>
      </c>
    </row>
    <row r="255" spans="2:16" x14ac:dyDescent="0.45">
      <c r="B255" s="1">
        <v>46638</v>
      </c>
      <c r="C255" s="4">
        <f>SUMIFS(schedule[Labor CPP], schedule[Start Date],"&lt;="&amp;day_cash_behind[[#This Row],[Date]], schedule[Finish Date],"&gt;="&amp;day_cash_behind[[#This Row],[Date]])</f>
        <v>0</v>
      </c>
      <c r="D255" s="4">
        <f>SUMIFS(schedule[Material CPP], schedule[Start Date],"&lt;="&amp;day_cash_behind[[#This Row],[Date]]-$D$2, schedule[Finish Date],"&gt;="&amp;day_cash_behind[[#This Row],[Date]]-$D$2)</f>
        <v>0</v>
      </c>
      <c r="E255" s="4">
        <f>SUMIFS(schedule[Equipment CPP], schedule[Start Date],"&lt;="&amp;day_cash_behind[[#This Row],[Date]]-$E$2, schedule[Finish Date],"&gt;="&amp;day_cash_behind[[#This Row],[Date]]-$E$2)</f>
        <v>0</v>
      </c>
      <c r="F255" s="4">
        <f>SUMIFS(schedule[Sub CPP], schedule[Start Date],"&lt;="&amp;day_cash_behind[[#This Row],[Date]]-$F$2, schedule[Finish Date],"&gt;="&amp;day_cash_behind[[#This Row],[Date]]-$F$2)</f>
        <v>0</v>
      </c>
      <c r="G255" s="3">
        <f>SUMIFS(schedule[Other CPP], schedule[Start Date],"&lt;="&amp;day_cash_behind[[#This Row],[Date]]-$G$2, schedule[Finish Date],"&gt;="&amp;day_cash_behind[[#This Row],[Date]]-$G$2)</f>
        <v>0</v>
      </c>
      <c r="H255" s="3">
        <f>SUM(day_cash_behind[[#This Row],[Labor Cost]:[Other Cost]])</f>
        <v>0</v>
      </c>
      <c r="I255" s="3">
        <f>SUMIFS(schedule[Revenue per Day], schedule[Start Date],"&lt;="&amp;day_cash_behind[[#This Row],[Date]]-$I$2, schedule[Finish Date],"&gt;="&amp;day_cash_behind[[#This Row],[Date]]-$I$2)</f>
        <v>8346.2884223580477</v>
      </c>
      <c r="J255" s="3">
        <f>SUM(day_cash_behind[[#Headers],[Labor Cost]]:day_cash_behind[[#This Row],[Labor Cost]])</f>
        <v>594999.99999999988</v>
      </c>
      <c r="K255" s="3">
        <f>SUM(day_cash_behind[[#Headers],[Material Cost]]:day_cash_behind[[#This Row],[Material Cost]])</f>
        <v>261249.99999999951</v>
      </c>
      <c r="L255" s="3">
        <f>SUM(day_cash_behind[[#Headers],[Equipment Cost]]:day_cash_behind[[#This Row],[Equipment Cost]])</f>
        <v>87999.999999999796</v>
      </c>
      <c r="M255" s="3">
        <f>SUM(day_cash_behind[[#Headers],[Sub Cost]]:day_cash_behind[[#This Row],[Sub Cost]])</f>
        <v>730249.99999999872</v>
      </c>
      <c r="N255" s="3">
        <f>SUM(day_cash_behind[[#Headers],[Other Cost]]:day_cash_behind[[#This Row],[Other Cost]])</f>
        <v>58499.999999999847</v>
      </c>
      <c r="O255" s="3">
        <f>SUM(day_cash_behind[[#This Row],[Cumulative Labor]:[Cumulative Other]])</f>
        <v>1732999.9999999977</v>
      </c>
      <c r="P255" s="3">
        <f>SUM(day_cash_behind[[#Headers],[Revenue]]:day_cash_behind[[#This Row],[Revenue]])</f>
        <v>2095371.2115776397</v>
      </c>
    </row>
    <row r="256" spans="2:16" x14ac:dyDescent="0.45">
      <c r="B256" s="1">
        <v>46639</v>
      </c>
      <c r="C256" s="4">
        <f>SUMIFS(schedule[Labor CPP], schedule[Start Date],"&lt;="&amp;day_cash_behind[[#This Row],[Date]], schedule[Finish Date],"&gt;="&amp;day_cash_behind[[#This Row],[Date]])</f>
        <v>0</v>
      </c>
      <c r="D256" s="4">
        <f>SUMIFS(schedule[Material CPP], schedule[Start Date],"&lt;="&amp;day_cash_behind[[#This Row],[Date]]-$D$2, schedule[Finish Date],"&gt;="&amp;day_cash_behind[[#This Row],[Date]]-$D$2)</f>
        <v>0</v>
      </c>
      <c r="E256" s="4">
        <f>SUMIFS(schedule[Equipment CPP], schedule[Start Date],"&lt;="&amp;day_cash_behind[[#This Row],[Date]]-$E$2, schedule[Finish Date],"&gt;="&amp;day_cash_behind[[#This Row],[Date]]-$E$2)</f>
        <v>0</v>
      </c>
      <c r="F256" s="4">
        <f>SUMIFS(schedule[Sub CPP], schedule[Start Date],"&lt;="&amp;day_cash_behind[[#This Row],[Date]]-$F$2, schedule[Finish Date],"&gt;="&amp;day_cash_behind[[#This Row],[Date]]-$F$2)</f>
        <v>0</v>
      </c>
      <c r="G256" s="3">
        <f>SUMIFS(schedule[Other CPP], schedule[Start Date],"&lt;="&amp;day_cash_behind[[#This Row],[Date]]-$G$2, schedule[Finish Date],"&gt;="&amp;day_cash_behind[[#This Row],[Date]]-$G$2)</f>
        <v>0</v>
      </c>
      <c r="H256" s="3">
        <f>SUM(day_cash_behind[[#This Row],[Labor Cost]:[Other Cost]])</f>
        <v>0</v>
      </c>
      <c r="I256" s="3">
        <f>SUMIFS(schedule[Revenue per Day], schedule[Start Date],"&lt;="&amp;day_cash_behind[[#This Row],[Date]]-$I$2, schedule[Finish Date],"&gt;="&amp;day_cash_behind[[#This Row],[Date]]-$I$2)</f>
        <v>8346.2884223580477</v>
      </c>
      <c r="J256" s="3">
        <f>SUM(day_cash_behind[[#Headers],[Labor Cost]]:day_cash_behind[[#This Row],[Labor Cost]])</f>
        <v>594999.99999999988</v>
      </c>
      <c r="K256" s="3">
        <f>SUM(day_cash_behind[[#Headers],[Material Cost]]:day_cash_behind[[#This Row],[Material Cost]])</f>
        <v>261249.99999999951</v>
      </c>
      <c r="L256" s="3">
        <f>SUM(day_cash_behind[[#Headers],[Equipment Cost]]:day_cash_behind[[#This Row],[Equipment Cost]])</f>
        <v>87999.999999999796</v>
      </c>
      <c r="M256" s="3">
        <f>SUM(day_cash_behind[[#Headers],[Sub Cost]]:day_cash_behind[[#This Row],[Sub Cost]])</f>
        <v>730249.99999999872</v>
      </c>
      <c r="N256" s="3">
        <f>SUM(day_cash_behind[[#Headers],[Other Cost]]:day_cash_behind[[#This Row],[Other Cost]])</f>
        <v>58499.999999999847</v>
      </c>
      <c r="O256" s="3">
        <f>SUM(day_cash_behind[[#This Row],[Cumulative Labor]:[Cumulative Other]])</f>
        <v>1732999.9999999977</v>
      </c>
      <c r="P256" s="3">
        <f>SUM(day_cash_behind[[#Headers],[Revenue]]:day_cash_behind[[#This Row],[Revenue]])</f>
        <v>2103717.4999999977</v>
      </c>
    </row>
    <row r="257" spans="2:16" x14ac:dyDescent="0.45">
      <c r="B257" s="1">
        <v>46640</v>
      </c>
      <c r="C257" s="4">
        <f>SUMIFS(schedule[Labor CPP], schedule[Start Date],"&lt;="&amp;day_cash_behind[[#This Row],[Date]], schedule[Finish Date],"&gt;="&amp;day_cash_behind[[#This Row],[Date]])</f>
        <v>0</v>
      </c>
      <c r="D257" s="4">
        <f>SUMIFS(schedule[Material CPP], schedule[Start Date],"&lt;="&amp;day_cash_behind[[#This Row],[Date]]-$D$2, schedule[Finish Date],"&gt;="&amp;day_cash_behind[[#This Row],[Date]]-$D$2)</f>
        <v>0</v>
      </c>
      <c r="E257" s="4">
        <f>SUMIFS(schedule[Equipment CPP], schedule[Start Date],"&lt;="&amp;day_cash_behind[[#This Row],[Date]]-$E$2, schedule[Finish Date],"&gt;="&amp;day_cash_behind[[#This Row],[Date]]-$E$2)</f>
        <v>0</v>
      </c>
      <c r="F257" s="4">
        <f>SUMIFS(schedule[Sub CPP], schedule[Start Date],"&lt;="&amp;day_cash_behind[[#This Row],[Date]]-$F$2, schedule[Finish Date],"&gt;="&amp;day_cash_behind[[#This Row],[Date]]-$F$2)</f>
        <v>0</v>
      </c>
      <c r="G257" s="3">
        <f>SUMIFS(schedule[Other CPP], schedule[Start Date],"&lt;="&amp;day_cash_behind[[#This Row],[Date]]-$G$2, schedule[Finish Date],"&gt;="&amp;day_cash_behind[[#This Row],[Date]]-$G$2)</f>
        <v>0</v>
      </c>
      <c r="H257" s="3">
        <f>SUM(day_cash_behind[[#This Row],[Labor Cost]:[Other Cost]])</f>
        <v>0</v>
      </c>
      <c r="I257" s="3">
        <f>SUMIFS(schedule[Revenue per Day], schedule[Start Date],"&lt;="&amp;day_cash_behind[[#This Row],[Date]]-$I$2, schedule[Finish Date],"&gt;="&amp;day_cash_behind[[#This Row],[Date]]-$I$2)</f>
        <v>0</v>
      </c>
      <c r="J257" s="3">
        <f>SUM(day_cash_behind[[#Headers],[Labor Cost]]:day_cash_behind[[#This Row],[Labor Cost]])</f>
        <v>594999.99999999988</v>
      </c>
      <c r="K257" s="3">
        <f>SUM(day_cash_behind[[#Headers],[Material Cost]]:day_cash_behind[[#This Row],[Material Cost]])</f>
        <v>261249.99999999951</v>
      </c>
      <c r="L257" s="3">
        <f>SUM(day_cash_behind[[#Headers],[Equipment Cost]]:day_cash_behind[[#This Row],[Equipment Cost]])</f>
        <v>87999.999999999796</v>
      </c>
      <c r="M257" s="3">
        <f>SUM(day_cash_behind[[#Headers],[Sub Cost]]:day_cash_behind[[#This Row],[Sub Cost]])</f>
        <v>730249.99999999872</v>
      </c>
      <c r="N257" s="3">
        <f>SUM(day_cash_behind[[#Headers],[Other Cost]]:day_cash_behind[[#This Row],[Other Cost]])</f>
        <v>58499.999999999847</v>
      </c>
      <c r="O257" s="3">
        <f>SUM(day_cash_behind[[#This Row],[Cumulative Labor]:[Cumulative Other]])</f>
        <v>1732999.9999999977</v>
      </c>
      <c r="P257" s="3">
        <f>SUM(day_cash_behind[[#Headers],[Revenue]]:day_cash_behind[[#This Row],[Revenue]])</f>
        <v>2103717.4999999977</v>
      </c>
    </row>
    <row r="258" spans="2:16" x14ac:dyDescent="0.45">
      <c r="B258" s="1">
        <v>46641</v>
      </c>
      <c r="C258" s="4">
        <f>SUMIFS(schedule[Labor CPP], schedule[Start Date],"&lt;="&amp;day_cash_behind[[#This Row],[Date]], schedule[Finish Date],"&gt;="&amp;day_cash_behind[[#This Row],[Date]])</f>
        <v>0</v>
      </c>
      <c r="D258" s="4">
        <f>SUMIFS(schedule[Material CPP], schedule[Start Date],"&lt;="&amp;day_cash_behind[[#This Row],[Date]]-$D$2, schedule[Finish Date],"&gt;="&amp;day_cash_behind[[#This Row],[Date]]-$D$2)</f>
        <v>0</v>
      </c>
      <c r="E258" s="4">
        <f>SUMIFS(schedule[Equipment CPP], schedule[Start Date],"&lt;="&amp;day_cash_behind[[#This Row],[Date]]-$E$2, schedule[Finish Date],"&gt;="&amp;day_cash_behind[[#This Row],[Date]]-$E$2)</f>
        <v>0</v>
      </c>
      <c r="F258" s="4">
        <f>SUMIFS(schedule[Sub CPP], schedule[Start Date],"&lt;="&amp;day_cash_behind[[#This Row],[Date]]-$F$2, schedule[Finish Date],"&gt;="&amp;day_cash_behind[[#This Row],[Date]]-$F$2)</f>
        <v>0</v>
      </c>
      <c r="G258" s="3">
        <f>SUMIFS(schedule[Other CPP], schedule[Start Date],"&lt;="&amp;day_cash_behind[[#This Row],[Date]]-$G$2, schedule[Finish Date],"&gt;="&amp;day_cash_behind[[#This Row],[Date]]-$G$2)</f>
        <v>0</v>
      </c>
      <c r="H258" s="3">
        <f>SUM(day_cash_behind[[#This Row],[Labor Cost]:[Other Cost]])</f>
        <v>0</v>
      </c>
      <c r="I258" s="3">
        <f>SUMIFS(schedule[Revenue per Day], schedule[Start Date],"&lt;="&amp;day_cash_behind[[#This Row],[Date]]-$I$2, schedule[Finish Date],"&gt;="&amp;day_cash_behind[[#This Row],[Date]]-$I$2)</f>
        <v>0</v>
      </c>
      <c r="J258" s="3">
        <f>SUM(day_cash_behind[[#Headers],[Labor Cost]]:day_cash_behind[[#This Row],[Labor Cost]])</f>
        <v>594999.99999999988</v>
      </c>
      <c r="K258" s="3">
        <f>SUM(day_cash_behind[[#Headers],[Material Cost]]:day_cash_behind[[#This Row],[Material Cost]])</f>
        <v>261249.99999999951</v>
      </c>
      <c r="L258" s="3">
        <f>SUM(day_cash_behind[[#Headers],[Equipment Cost]]:day_cash_behind[[#This Row],[Equipment Cost]])</f>
        <v>87999.999999999796</v>
      </c>
      <c r="M258" s="3">
        <f>SUM(day_cash_behind[[#Headers],[Sub Cost]]:day_cash_behind[[#This Row],[Sub Cost]])</f>
        <v>730249.99999999872</v>
      </c>
      <c r="N258" s="3">
        <f>SUM(day_cash_behind[[#Headers],[Other Cost]]:day_cash_behind[[#This Row],[Other Cost]])</f>
        <v>58499.999999999847</v>
      </c>
      <c r="O258" s="3">
        <f>SUM(day_cash_behind[[#This Row],[Cumulative Labor]:[Cumulative Other]])</f>
        <v>1732999.9999999977</v>
      </c>
      <c r="P258" s="3">
        <f>SUM(day_cash_behind[[#Headers],[Revenue]]:day_cash_behind[[#This Row],[Revenue]])</f>
        <v>2103717.4999999977</v>
      </c>
    </row>
    <row r="259" spans="2:16" x14ac:dyDescent="0.45">
      <c r="B259" s="1">
        <v>46642</v>
      </c>
      <c r="C259" s="4">
        <f>SUMIFS(schedule[Labor CPP], schedule[Start Date],"&lt;="&amp;day_cash_behind[[#This Row],[Date]], schedule[Finish Date],"&gt;="&amp;day_cash_behind[[#This Row],[Date]])</f>
        <v>0</v>
      </c>
      <c r="D259" s="4">
        <f>SUMIFS(schedule[Material CPP], schedule[Start Date],"&lt;="&amp;day_cash_behind[[#This Row],[Date]]-$D$2, schedule[Finish Date],"&gt;="&amp;day_cash_behind[[#This Row],[Date]]-$D$2)</f>
        <v>0</v>
      </c>
      <c r="E259" s="4">
        <f>SUMIFS(schedule[Equipment CPP], schedule[Start Date],"&lt;="&amp;day_cash_behind[[#This Row],[Date]]-$E$2, schedule[Finish Date],"&gt;="&amp;day_cash_behind[[#This Row],[Date]]-$E$2)</f>
        <v>0</v>
      </c>
      <c r="F259" s="4">
        <f>SUMIFS(schedule[Sub CPP], schedule[Start Date],"&lt;="&amp;day_cash_behind[[#This Row],[Date]]-$F$2, schedule[Finish Date],"&gt;="&amp;day_cash_behind[[#This Row],[Date]]-$F$2)</f>
        <v>0</v>
      </c>
      <c r="G259" s="3">
        <f>SUMIFS(schedule[Other CPP], schedule[Start Date],"&lt;="&amp;day_cash_behind[[#This Row],[Date]]-$G$2, schedule[Finish Date],"&gt;="&amp;day_cash_behind[[#This Row],[Date]]-$G$2)</f>
        <v>0</v>
      </c>
      <c r="H259" s="3">
        <f>SUM(day_cash_behind[[#This Row],[Labor Cost]:[Other Cost]])</f>
        <v>0</v>
      </c>
      <c r="I259" s="3">
        <f>SUMIFS(schedule[Revenue per Day], schedule[Start Date],"&lt;="&amp;day_cash_behind[[#This Row],[Date]]-$I$2, schedule[Finish Date],"&gt;="&amp;day_cash_behind[[#This Row],[Date]]-$I$2)</f>
        <v>0</v>
      </c>
      <c r="J259" s="3">
        <f>SUM(day_cash_behind[[#Headers],[Labor Cost]]:day_cash_behind[[#This Row],[Labor Cost]])</f>
        <v>594999.99999999988</v>
      </c>
      <c r="K259" s="3">
        <f>SUM(day_cash_behind[[#Headers],[Material Cost]]:day_cash_behind[[#This Row],[Material Cost]])</f>
        <v>261249.99999999951</v>
      </c>
      <c r="L259" s="3">
        <f>SUM(day_cash_behind[[#Headers],[Equipment Cost]]:day_cash_behind[[#This Row],[Equipment Cost]])</f>
        <v>87999.999999999796</v>
      </c>
      <c r="M259" s="3">
        <f>SUM(day_cash_behind[[#Headers],[Sub Cost]]:day_cash_behind[[#This Row],[Sub Cost]])</f>
        <v>730249.99999999872</v>
      </c>
      <c r="N259" s="3">
        <f>SUM(day_cash_behind[[#Headers],[Other Cost]]:day_cash_behind[[#This Row],[Other Cost]])</f>
        <v>58499.999999999847</v>
      </c>
      <c r="O259" s="3">
        <f>SUM(day_cash_behind[[#This Row],[Cumulative Labor]:[Cumulative Other]])</f>
        <v>1732999.9999999977</v>
      </c>
      <c r="P259" s="3">
        <f>SUM(day_cash_behind[[#Headers],[Revenue]]:day_cash_behind[[#This Row],[Revenue]])</f>
        <v>2103717.4999999977</v>
      </c>
    </row>
    <row r="260" spans="2:16" x14ac:dyDescent="0.45">
      <c r="B260" s="1">
        <v>46643</v>
      </c>
      <c r="C260" s="4">
        <f>SUMIFS(schedule[Labor CPP], schedule[Start Date],"&lt;="&amp;day_cash_behind[[#This Row],[Date]], schedule[Finish Date],"&gt;="&amp;day_cash_behind[[#This Row],[Date]])</f>
        <v>0</v>
      </c>
      <c r="D260" s="4">
        <f>SUMIFS(schedule[Material CPP], schedule[Start Date],"&lt;="&amp;day_cash_behind[[#This Row],[Date]]-$D$2, schedule[Finish Date],"&gt;="&amp;day_cash_behind[[#This Row],[Date]]-$D$2)</f>
        <v>0</v>
      </c>
      <c r="E260" s="4">
        <f>SUMIFS(schedule[Equipment CPP], schedule[Start Date],"&lt;="&amp;day_cash_behind[[#This Row],[Date]]-$E$2, schedule[Finish Date],"&gt;="&amp;day_cash_behind[[#This Row],[Date]]-$E$2)</f>
        <v>0</v>
      </c>
      <c r="F260" s="4">
        <f>SUMIFS(schedule[Sub CPP], schedule[Start Date],"&lt;="&amp;day_cash_behind[[#This Row],[Date]]-$F$2, schedule[Finish Date],"&gt;="&amp;day_cash_behind[[#This Row],[Date]]-$F$2)</f>
        <v>0</v>
      </c>
      <c r="G260" s="3">
        <f>SUMIFS(schedule[Other CPP], schedule[Start Date],"&lt;="&amp;day_cash_behind[[#This Row],[Date]]-$G$2, schedule[Finish Date],"&gt;="&amp;day_cash_behind[[#This Row],[Date]]-$G$2)</f>
        <v>0</v>
      </c>
      <c r="H260" s="3">
        <f>SUM(day_cash_behind[[#This Row],[Labor Cost]:[Other Cost]])</f>
        <v>0</v>
      </c>
      <c r="I260" s="3">
        <f>SUMIFS(schedule[Revenue per Day], schedule[Start Date],"&lt;="&amp;day_cash_behind[[#This Row],[Date]]-$I$2, schedule[Finish Date],"&gt;="&amp;day_cash_behind[[#This Row],[Date]]-$I$2)</f>
        <v>0</v>
      </c>
      <c r="J260" s="3">
        <f>SUM(day_cash_behind[[#Headers],[Labor Cost]]:day_cash_behind[[#This Row],[Labor Cost]])</f>
        <v>594999.99999999988</v>
      </c>
      <c r="K260" s="3">
        <f>SUM(day_cash_behind[[#Headers],[Material Cost]]:day_cash_behind[[#This Row],[Material Cost]])</f>
        <v>261249.99999999951</v>
      </c>
      <c r="L260" s="3">
        <f>SUM(day_cash_behind[[#Headers],[Equipment Cost]]:day_cash_behind[[#This Row],[Equipment Cost]])</f>
        <v>87999.999999999796</v>
      </c>
      <c r="M260" s="3">
        <f>SUM(day_cash_behind[[#Headers],[Sub Cost]]:day_cash_behind[[#This Row],[Sub Cost]])</f>
        <v>730249.99999999872</v>
      </c>
      <c r="N260" s="3">
        <f>SUM(day_cash_behind[[#Headers],[Other Cost]]:day_cash_behind[[#This Row],[Other Cost]])</f>
        <v>58499.999999999847</v>
      </c>
      <c r="O260" s="3">
        <f>SUM(day_cash_behind[[#This Row],[Cumulative Labor]:[Cumulative Other]])</f>
        <v>1732999.9999999977</v>
      </c>
      <c r="P260" s="3">
        <f>SUM(day_cash_behind[[#Headers],[Revenue]]:day_cash_behind[[#This Row],[Revenue]])</f>
        <v>2103717.4999999977</v>
      </c>
    </row>
    <row r="261" spans="2:16" x14ac:dyDescent="0.45">
      <c r="B261" s="1">
        <v>46644</v>
      </c>
      <c r="C261" s="4">
        <f>SUMIFS(schedule[Labor CPP], schedule[Start Date],"&lt;="&amp;day_cash_behind[[#This Row],[Date]], schedule[Finish Date],"&gt;="&amp;day_cash_behind[[#This Row],[Date]])</f>
        <v>0</v>
      </c>
      <c r="D261" s="4">
        <f>SUMIFS(schedule[Material CPP], schedule[Start Date],"&lt;="&amp;day_cash_behind[[#This Row],[Date]]-$D$2, schedule[Finish Date],"&gt;="&amp;day_cash_behind[[#This Row],[Date]]-$D$2)</f>
        <v>0</v>
      </c>
      <c r="E261" s="4">
        <f>SUMIFS(schedule[Equipment CPP], schedule[Start Date],"&lt;="&amp;day_cash_behind[[#This Row],[Date]]-$E$2, schedule[Finish Date],"&gt;="&amp;day_cash_behind[[#This Row],[Date]]-$E$2)</f>
        <v>0</v>
      </c>
      <c r="F261" s="4">
        <f>SUMIFS(schedule[Sub CPP], schedule[Start Date],"&lt;="&amp;day_cash_behind[[#This Row],[Date]]-$F$2, schedule[Finish Date],"&gt;="&amp;day_cash_behind[[#This Row],[Date]]-$F$2)</f>
        <v>0</v>
      </c>
      <c r="G261" s="3">
        <f>SUMIFS(schedule[Other CPP], schedule[Start Date],"&lt;="&amp;day_cash_behind[[#This Row],[Date]]-$G$2, schedule[Finish Date],"&gt;="&amp;day_cash_behind[[#This Row],[Date]]-$G$2)</f>
        <v>0</v>
      </c>
      <c r="H261" s="3">
        <f>SUM(day_cash_behind[[#This Row],[Labor Cost]:[Other Cost]])</f>
        <v>0</v>
      </c>
      <c r="I261" s="3">
        <f>SUMIFS(schedule[Revenue per Day], schedule[Start Date],"&lt;="&amp;day_cash_behind[[#This Row],[Date]]-$I$2, schedule[Finish Date],"&gt;="&amp;day_cash_behind[[#This Row],[Date]]-$I$2)</f>
        <v>0</v>
      </c>
      <c r="J261" s="3">
        <f>SUM(day_cash_behind[[#Headers],[Labor Cost]]:day_cash_behind[[#This Row],[Labor Cost]])</f>
        <v>594999.99999999988</v>
      </c>
      <c r="K261" s="3">
        <f>SUM(day_cash_behind[[#Headers],[Material Cost]]:day_cash_behind[[#This Row],[Material Cost]])</f>
        <v>261249.99999999951</v>
      </c>
      <c r="L261" s="3">
        <f>SUM(day_cash_behind[[#Headers],[Equipment Cost]]:day_cash_behind[[#This Row],[Equipment Cost]])</f>
        <v>87999.999999999796</v>
      </c>
      <c r="M261" s="3">
        <f>SUM(day_cash_behind[[#Headers],[Sub Cost]]:day_cash_behind[[#This Row],[Sub Cost]])</f>
        <v>730249.99999999872</v>
      </c>
      <c r="N261" s="3">
        <f>SUM(day_cash_behind[[#Headers],[Other Cost]]:day_cash_behind[[#This Row],[Other Cost]])</f>
        <v>58499.999999999847</v>
      </c>
      <c r="O261" s="3">
        <f>SUM(day_cash_behind[[#This Row],[Cumulative Labor]:[Cumulative Other]])</f>
        <v>1732999.9999999977</v>
      </c>
      <c r="P261" s="3">
        <f>SUM(day_cash_behind[[#Headers],[Revenue]]:day_cash_behind[[#This Row],[Revenue]])</f>
        <v>2103717.4999999977</v>
      </c>
    </row>
    <row r="262" spans="2:16" x14ac:dyDescent="0.45">
      <c r="B262" s="1">
        <v>46645</v>
      </c>
      <c r="C262" s="4">
        <f>SUMIFS(schedule[Labor CPP], schedule[Start Date],"&lt;="&amp;day_cash_behind[[#This Row],[Date]], schedule[Finish Date],"&gt;="&amp;day_cash_behind[[#This Row],[Date]])</f>
        <v>0</v>
      </c>
      <c r="D262" s="4">
        <f>SUMIFS(schedule[Material CPP], schedule[Start Date],"&lt;="&amp;day_cash_behind[[#This Row],[Date]]-$D$2, schedule[Finish Date],"&gt;="&amp;day_cash_behind[[#This Row],[Date]]-$D$2)</f>
        <v>0</v>
      </c>
      <c r="E262" s="4">
        <f>SUMIFS(schedule[Equipment CPP], schedule[Start Date],"&lt;="&amp;day_cash_behind[[#This Row],[Date]]-$E$2, schedule[Finish Date],"&gt;="&amp;day_cash_behind[[#This Row],[Date]]-$E$2)</f>
        <v>0</v>
      </c>
      <c r="F262" s="4">
        <f>SUMIFS(schedule[Sub CPP], schedule[Start Date],"&lt;="&amp;day_cash_behind[[#This Row],[Date]]-$F$2, schedule[Finish Date],"&gt;="&amp;day_cash_behind[[#This Row],[Date]]-$F$2)</f>
        <v>0</v>
      </c>
      <c r="G262" s="3">
        <f>SUMIFS(schedule[Other CPP], schedule[Start Date],"&lt;="&amp;day_cash_behind[[#This Row],[Date]]-$G$2, schedule[Finish Date],"&gt;="&amp;day_cash_behind[[#This Row],[Date]]-$G$2)</f>
        <v>0</v>
      </c>
      <c r="H262" s="3">
        <f>SUM(day_cash_behind[[#This Row],[Labor Cost]:[Other Cost]])</f>
        <v>0</v>
      </c>
      <c r="I262" s="3">
        <f>SUMIFS(schedule[Revenue per Day], schedule[Start Date],"&lt;="&amp;day_cash_behind[[#This Row],[Date]]-$I$2, schedule[Finish Date],"&gt;="&amp;day_cash_behind[[#This Row],[Date]]-$I$2)</f>
        <v>0</v>
      </c>
      <c r="J262" s="3">
        <f>SUM(day_cash_behind[[#Headers],[Labor Cost]]:day_cash_behind[[#This Row],[Labor Cost]])</f>
        <v>594999.99999999988</v>
      </c>
      <c r="K262" s="3">
        <f>SUM(day_cash_behind[[#Headers],[Material Cost]]:day_cash_behind[[#This Row],[Material Cost]])</f>
        <v>261249.99999999951</v>
      </c>
      <c r="L262" s="3">
        <f>SUM(day_cash_behind[[#Headers],[Equipment Cost]]:day_cash_behind[[#This Row],[Equipment Cost]])</f>
        <v>87999.999999999796</v>
      </c>
      <c r="M262" s="3">
        <f>SUM(day_cash_behind[[#Headers],[Sub Cost]]:day_cash_behind[[#This Row],[Sub Cost]])</f>
        <v>730249.99999999872</v>
      </c>
      <c r="N262" s="3">
        <f>SUM(day_cash_behind[[#Headers],[Other Cost]]:day_cash_behind[[#This Row],[Other Cost]])</f>
        <v>58499.999999999847</v>
      </c>
      <c r="O262" s="3">
        <f>SUM(day_cash_behind[[#This Row],[Cumulative Labor]:[Cumulative Other]])</f>
        <v>1732999.9999999977</v>
      </c>
      <c r="P262" s="3">
        <f>SUM(day_cash_behind[[#Headers],[Revenue]]:day_cash_behind[[#This Row],[Revenue]])</f>
        <v>2103717.4999999977</v>
      </c>
    </row>
    <row r="263" spans="2:16" x14ac:dyDescent="0.45">
      <c r="B263" s="1">
        <v>46646</v>
      </c>
      <c r="C263" s="4">
        <f>SUMIFS(schedule[Labor CPP], schedule[Start Date],"&lt;="&amp;day_cash_behind[[#This Row],[Date]], schedule[Finish Date],"&gt;="&amp;day_cash_behind[[#This Row],[Date]])</f>
        <v>0</v>
      </c>
      <c r="D263" s="4">
        <f>SUMIFS(schedule[Material CPP], schedule[Start Date],"&lt;="&amp;day_cash_behind[[#This Row],[Date]]-$D$2, schedule[Finish Date],"&gt;="&amp;day_cash_behind[[#This Row],[Date]]-$D$2)</f>
        <v>0</v>
      </c>
      <c r="E263" s="4">
        <f>SUMIFS(schedule[Equipment CPP], schedule[Start Date],"&lt;="&amp;day_cash_behind[[#This Row],[Date]]-$E$2, schedule[Finish Date],"&gt;="&amp;day_cash_behind[[#This Row],[Date]]-$E$2)</f>
        <v>0</v>
      </c>
      <c r="F263" s="4">
        <f>SUMIFS(schedule[Sub CPP], schedule[Start Date],"&lt;="&amp;day_cash_behind[[#This Row],[Date]]-$F$2, schedule[Finish Date],"&gt;="&amp;day_cash_behind[[#This Row],[Date]]-$F$2)</f>
        <v>0</v>
      </c>
      <c r="G263" s="3">
        <f>SUMIFS(schedule[Other CPP], schedule[Start Date],"&lt;="&amp;day_cash_behind[[#This Row],[Date]]-$G$2, schedule[Finish Date],"&gt;="&amp;day_cash_behind[[#This Row],[Date]]-$G$2)</f>
        <v>0</v>
      </c>
      <c r="H263" s="3">
        <f>SUM(day_cash_behind[[#This Row],[Labor Cost]:[Other Cost]])</f>
        <v>0</v>
      </c>
      <c r="I263" s="3">
        <f>SUMIFS(schedule[Revenue per Day], schedule[Start Date],"&lt;="&amp;day_cash_behind[[#This Row],[Date]]-$I$2, schedule[Finish Date],"&gt;="&amp;day_cash_behind[[#This Row],[Date]]-$I$2)</f>
        <v>0</v>
      </c>
      <c r="J263" s="3">
        <f>SUM(day_cash_behind[[#Headers],[Labor Cost]]:day_cash_behind[[#This Row],[Labor Cost]])</f>
        <v>594999.99999999988</v>
      </c>
      <c r="K263" s="3">
        <f>SUM(day_cash_behind[[#Headers],[Material Cost]]:day_cash_behind[[#This Row],[Material Cost]])</f>
        <v>261249.99999999951</v>
      </c>
      <c r="L263" s="3">
        <f>SUM(day_cash_behind[[#Headers],[Equipment Cost]]:day_cash_behind[[#This Row],[Equipment Cost]])</f>
        <v>87999.999999999796</v>
      </c>
      <c r="M263" s="3">
        <f>SUM(day_cash_behind[[#Headers],[Sub Cost]]:day_cash_behind[[#This Row],[Sub Cost]])</f>
        <v>730249.99999999872</v>
      </c>
      <c r="N263" s="3">
        <f>SUM(day_cash_behind[[#Headers],[Other Cost]]:day_cash_behind[[#This Row],[Other Cost]])</f>
        <v>58499.999999999847</v>
      </c>
      <c r="O263" s="3">
        <f>SUM(day_cash_behind[[#This Row],[Cumulative Labor]:[Cumulative Other]])</f>
        <v>1732999.9999999977</v>
      </c>
      <c r="P263" s="3">
        <f>SUM(day_cash_behind[[#Headers],[Revenue]]:day_cash_behind[[#This Row],[Revenue]])</f>
        <v>2103717.4999999977</v>
      </c>
    </row>
    <row r="264" spans="2:16" x14ac:dyDescent="0.45">
      <c r="B264" s="1">
        <v>46647</v>
      </c>
      <c r="C264" s="4">
        <f>SUMIFS(schedule[Labor CPP], schedule[Start Date],"&lt;="&amp;day_cash_behind[[#This Row],[Date]], schedule[Finish Date],"&gt;="&amp;day_cash_behind[[#This Row],[Date]])</f>
        <v>0</v>
      </c>
      <c r="D264" s="4">
        <f>SUMIFS(schedule[Material CPP], schedule[Start Date],"&lt;="&amp;day_cash_behind[[#This Row],[Date]]-$D$2, schedule[Finish Date],"&gt;="&amp;day_cash_behind[[#This Row],[Date]]-$D$2)</f>
        <v>0</v>
      </c>
      <c r="E264" s="4">
        <f>SUMIFS(schedule[Equipment CPP], schedule[Start Date],"&lt;="&amp;day_cash_behind[[#This Row],[Date]]-$E$2, schedule[Finish Date],"&gt;="&amp;day_cash_behind[[#This Row],[Date]]-$E$2)</f>
        <v>0</v>
      </c>
      <c r="F264" s="4">
        <f>SUMIFS(schedule[Sub CPP], schedule[Start Date],"&lt;="&amp;day_cash_behind[[#This Row],[Date]]-$F$2, schedule[Finish Date],"&gt;="&amp;day_cash_behind[[#This Row],[Date]]-$F$2)</f>
        <v>0</v>
      </c>
      <c r="G264" s="3">
        <f>SUMIFS(schedule[Other CPP], schedule[Start Date],"&lt;="&amp;day_cash_behind[[#This Row],[Date]]-$G$2, schedule[Finish Date],"&gt;="&amp;day_cash_behind[[#This Row],[Date]]-$G$2)</f>
        <v>0</v>
      </c>
      <c r="H264" s="3">
        <f>SUM(day_cash_behind[[#This Row],[Labor Cost]:[Other Cost]])</f>
        <v>0</v>
      </c>
      <c r="I264" s="3">
        <f>SUMIFS(schedule[Revenue per Day], schedule[Start Date],"&lt;="&amp;day_cash_behind[[#This Row],[Date]]-$I$2, schedule[Finish Date],"&gt;="&amp;day_cash_behind[[#This Row],[Date]]-$I$2)</f>
        <v>0</v>
      </c>
      <c r="J264" s="3">
        <f>SUM(day_cash_behind[[#Headers],[Labor Cost]]:day_cash_behind[[#This Row],[Labor Cost]])</f>
        <v>594999.99999999988</v>
      </c>
      <c r="K264" s="3">
        <f>SUM(day_cash_behind[[#Headers],[Material Cost]]:day_cash_behind[[#This Row],[Material Cost]])</f>
        <v>261249.99999999951</v>
      </c>
      <c r="L264" s="3">
        <f>SUM(day_cash_behind[[#Headers],[Equipment Cost]]:day_cash_behind[[#This Row],[Equipment Cost]])</f>
        <v>87999.999999999796</v>
      </c>
      <c r="M264" s="3">
        <f>SUM(day_cash_behind[[#Headers],[Sub Cost]]:day_cash_behind[[#This Row],[Sub Cost]])</f>
        <v>730249.99999999872</v>
      </c>
      <c r="N264" s="3">
        <f>SUM(day_cash_behind[[#Headers],[Other Cost]]:day_cash_behind[[#This Row],[Other Cost]])</f>
        <v>58499.999999999847</v>
      </c>
      <c r="O264" s="3">
        <f>SUM(day_cash_behind[[#This Row],[Cumulative Labor]:[Cumulative Other]])</f>
        <v>1732999.9999999977</v>
      </c>
      <c r="P264" s="3">
        <f>SUM(day_cash_behind[[#Headers],[Revenue]]:day_cash_behind[[#This Row],[Revenue]])</f>
        <v>2103717.4999999977</v>
      </c>
    </row>
    <row r="265" spans="2:16" x14ac:dyDescent="0.45">
      <c r="B265" s="1">
        <v>46648</v>
      </c>
      <c r="C265" s="4">
        <f>SUMIFS(schedule[Labor CPP], schedule[Start Date],"&lt;="&amp;day_cash_behind[[#This Row],[Date]], schedule[Finish Date],"&gt;="&amp;day_cash_behind[[#This Row],[Date]])</f>
        <v>0</v>
      </c>
      <c r="D265" s="4">
        <f>SUMIFS(schedule[Material CPP], schedule[Start Date],"&lt;="&amp;day_cash_behind[[#This Row],[Date]]-$D$2, schedule[Finish Date],"&gt;="&amp;day_cash_behind[[#This Row],[Date]]-$D$2)</f>
        <v>0</v>
      </c>
      <c r="E265" s="4">
        <f>SUMIFS(schedule[Equipment CPP], schedule[Start Date],"&lt;="&amp;day_cash_behind[[#This Row],[Date]]-$E$2, schedule[Finish Date],"&gt;="&amp;day_cash_behind[[#This Row],[Date]]-$E$2)</f>
        <v>0</v>
      </c>
      <c r="F265" s="4">
        <f>SUMIFS(schedule[Sub CPP], schedule[Start Date],"&lt;="&amp;day_cash_behind[[#This Row],[Date]]-$F$2, schedule[Finish Date],"&gt;="&amp;day_cash_behind[[#This Row],[Date]]-$F$2)</f>
        <v>0</v>
      </c>
      <c r="G265" s="3">
        <f>SUMIFS(schedule[Other CPP], schedule[Start Date],"&lt;="&amp;day_cash_behind[[#This Row],[Date]]-$G$2, schedule[Finish Date],"&gt;="&amp;day_cash_behind[[#This Row],[Date]]-$G$2)</f>
        <v>0</v>
      </c>
      <c r="H265" s="3">
        <f>SUM(day_cash_behind[[#This Row],[Labor Cost]:[Other Cost]])</f>
        <v>0</v>
      </c>
      <c r="I265" s="3">
        <f>SUMIFS(schedule[Revenue per Day], schedule[Start Date],"&lt;="&amp;day_cash_behind[[#This Row],[Date]]-$I$2, schedule[Finish Date],"&gt;="&amp;day_cash_behind[[#This Row],[Date]]-$I$2)</f>
        <v>0</v>
      </c>
      <c r="J265" s="3">
        <f>SUM(day_cash_behind[[#Headers],[Labor Cost]]:day_cash_behind[[#This Row],[Labor Cost]])</f>
        <v>594999.99999999988</v>
      </c>
      <c r="K265" s="3">
        <f>SUM(day_cash_behind[[#Headers],[Material Cost]]:day_cash_behind[[#This Row],[Material Cost]])</f>
        <v>261249.99999999951</v>
      </c>
      <c r="L265" s="3">
        <f>SUM(day_cash_behind[[#Headers],[Equipment Cost]]:day_cash_behind[[#This Row],[Equipment Cost]])</f>
        <v>87999.999999999796</v>
      </c>
      <c r="M265" s="3">
        <f>SUM(day_cash_behind[[#Headers],[Sub Cost]]:day_cash_behind[[#This Row],[Sub Cost]])</f>
        <v>730249.99999999872</v>
      </c>
      <c r="N265" s="3">
        <f>SUM(day_cash_behind[[#Headers],[Other Cost]]:day_cash_behind[[#This Row],[Other Cost]])</f>
        <v>58499.999999999847</v>
      </c>
      <c r="O265" s="3">
        <f>SUM(day_cash_behind[[#This Row],[Cumulative Labor]:[Cumulative Other]])</f>
        <v>1732999.9999999977</v>
      </c>
      <c r="P265" s="3">
        <f>SUM(day_cash_behind[[#Headers],[Revenue]]:day_cash_behind[[#This Row],[Revenue]])</f>
        <v>2103717.4999999977</v>
      </c>
    </row>
    <row r="266" spans="2:16" x14ac:dyDescent="0.45">
      <c r="B266" s="1">
        <v>46649</v>
      </c>
      <c r="C266" s="4">
        <f>SUMIFS(schedule[Labor CPP], schedule[Start Date],"&lt;="&amp;day_cash_behind[[#This Row],[Date]], schedule[Finish Date],"&gt;="&amp;day_cash_behind[[#This Row],[Date]])</f>
        <v>0</v>
      </c>
      <c r="D266" s="4">
        <f>SUMIFS(schedule[Material CPP], schedule[Start Date],"&lt;="&amp;day_cash_behind[[#This Row],[Date]]-$D$2, schedule[Finish Date],"&gt;="&amp;day_cash_behind[[#This Row],[Date]]-$D$2)</f>
        <v>0</v>
      </c>
      <c r="E266" s="4">
        <f>SUMIFS(schedule[Equipment CPP], schedule[Start Date],"&lt;="&amp;day_cash_behind[[#This Row],[Date]]-$E$2, schedule[Finish Date],"&gt;="&amp;day_cash_behind[[#This Row],[Date]]-$E$2)</f>
        <v>0</v>
      </c>
      <c r="F266" s="4">
        <f>SUMIFS(schedule[Sub CPP], schedule[Start Date],"&lt;="&amp;day_cash_behind[[#This Row],[Date]]-$F$2, schedule[Finish Date],"&gt;="&amp;day_cash_behind[[#This Row],[Date]]-$F$2)</f>
        <v>0</v>
      </c>
      <c r="G266" s="3">
        <f>SUMIFS(schedule[Other CPP], schedule[Start Date],"&lt;="&amp;day_cash_behind[[#This Row],[Date]]-$G$2, schedule[Finish Date],"&gt;="&amp;day_cash_behind[[#This Row],[Date]]-$G$2)</f>
        <v>0</v>
      </c>
      <c r="H266" s="3">
        <f>SUM(day_cash_behind[[#This Row],[Labor Cost]:[Other Cost]])</f>
        <v>0</v>
      </c>
      <c r="I266" s="3">
        <f>SUMIFS(schedule[Revenue per Day], schedule[Start Date],"&lt;="&amp;day_cash_behind[[#This Row],[Date]]-$I$2, schedule[Finish Date],"&gt;="&amp;day_cash_behind[[#This Row],[Date]]-$I$2)</f>
        <v>0</v>
      </c>
      <c r="J266" s="3">
        <f>SUM(day_cash_behind[[#Headers],[Labor Cost]]:day_cash_behind[[#This Row],[Labor Cost]])</f>
        <v>594999.99999999988</v>
      </c>
      <c r="K266" s="3">
        <f>SUM(day_cash_behind[[#Headers],[Material Cost]]:day_cash_behind[[#This Row],[Material Cost]])</f>
        <v>261249.99999999951</v>
      </c>
      <c r="L266" s="3">
        <f>SUM(day_cash_behind[[#Headers],[Equipment Cost]]:day_cash_behind[[#This Row],[Equipment Cost]])</f>
        <v>87999.999999999796</v>
      </c>
      <c r="M266" s="3">
        <f>SUM(day_cash_behind[[#Headers],[Sub Cost]]:day_cash_behind[[#This Row],[Sub Cost]])</f>
        <v>730249.99999999872</v>
      </c>
      <c r="N266" s="3">
        <f>SUM(day_cash_behind[[#Headers],[Other Cost]]:day_cash_behind[[#This Row],[Other Cost]])</f>
        <v>58499.999999999847</v>
      </c>
      <c r="O266" s="3">
        <f>SUM(day_cash_behind[[#This Row],[Cumulative Labor]:[Cumulative Other]])</f>
        <v>1732999.9999999977</v>
      </c>
      <c r="P266" s="3">
        <f>SUM(day_cash_behind[[#Headers],[Revenue]]:day_cash_behind[[#This Row],[Revenue]])</f>
        <v>2103717.4999999977</v>
      </c>
    </row>
    <row r="267" spans="2:16" x14ac:dyDescent="0.45">
      <c r="B267" s="1">
        <v>46650</v>
      </c>
      <c r="C267" s="4">
        <f>SUMIFS(schedule[Labor CPP], schedule[Start Date],"&lt;="&amp;day_cash_behind[[#This Row],[Date]], schedule[Finish Date],"&gt;="&amp;day_cash_behind[[#This Row],[Date]])</f>
        <v>0</v>
      </c>
      <c r="D267" s="4">
        <f>SUMIFS(schedule[Material CPP], schedule[Start Date],"&lt;="&amp;day_cash_behind[[#This Row],[Date]]-$D$2, schedule[Finish Date],"&gt;="&amp;day_cash_behind[[#This Row],[Date]]-$D$2)</f>
        <v>0</v>
      </c>
      <c r="E267" s="4">
        <f>SUMIFS(schedule[Equipment CPP], schedule[Start Date],"&lt;="&amp;day_cash_behind[[#This Row],[Date]]-$E$2, schedule[Finish Date],"&gt;="&amp;day_cash_behind[[#This Row],[Date]]-$E$2)</f>
        <v>0</v>
      </c>
      <c r="F267" s="4">
        <f>SUMIFS(schedule[Sub CPP], schedule[Start Date],"&lt;="&amp;day_cash_behind[[#This Row],[Date]]-$F$2, schedule[Finish Date],"&gt;="&amp;day_cash_behind[[#This Row],[Date]]-$F$2)</f>
        <v>0</v>
      </c>
      <c r="G267" s="3">
        <f>SUMIFS(schedule[Other CPP], schedule[Start Date],"&lt;="&amp;day_cash_behind[[#This Row],[Date]]-$G$2, schedule[Finish Date],"&gt;="&amp;day_cash_behind[[#This Row],[Date]]-$G$2)</f>
        <v>0</v>
      </c>
      <c r="H267" s="3">
        <f>SUM(day_cash_behind[[#This Row],[Labor Cost]:[Other Cost]])</f>
        <v>0</v>
      </c>
      <c r="I267" s="3">
        <f>SUMIFS(schedule[Revenue per Day], schedule[Start Date],"&lt;="&amp;day_cash_behind[[#This Row],[Date]]-$I$2, schedule[Finish Date],"&gt;="&amp;day_cash_behind[[#This Row],[Date]]-$I$2)</f>
        <v>0</v>
      </c>
      <c r="J267" s="3">
        <f>SUM(day_cash_behind[[#Headers],[Labor Cost]]:day_cash_behind[[#This Row],[Labor Cost]])</f>
        <v>594999.99999999988</v>
      </c>
      <c r="K267" s="3">
        <f>SUM(day_cash_behind[[#Headers],[Material Cost]]:day_cash_behind[[#This Row],[Material Cost]])</f>
        <v>261249.99999999951</v>
      </c>
      <c r="L267" s="3">
        <f>SUM(day_cash_behind[[#Headers],[Equipment Cost]]:day_cash_behind[[#This Row],[Equipment Cost]])</f>
        <v>87999.999999999796</v>
      </c>
      <c r="M267" s="3">
        <f>SUM(day_cash_behind[[#Headers],[Sub Cost]]:day_cash_behind[[#This Row],[Sub Cost]])</f>
        <v>730249.99999999872</v>
      </c>
      <c r="N267" s="3">
        <f>SUM(day_cash_behind[[#Headers],[Other Cost]]:day_cash_behind[[#This Row],[Other Cost]])</f>
        <v>58499.999999999847</v>
      </c>
      <c r="O267" s="3">
        <f>SUM(day_cash_behind[[#This Row],[Cumulative Labor]:[Cumulative Other]])</f>
        <v>1732999.9999999977</v>
      </c>
      <c r="P267" s="3">
        <f>SUM(day_cash_behind[[#Headers],[Revenue]]:day_cash_behind[[#This Row],[Revenue]])</f>
        <v>2103717.4999999977</v>
      </c>
    </row>
    <row r="268" spans="2:16" x14ac:dyDescent="0.45">
      <c r="B268" s="1">
        <v>46651</v>
      </c>
      <c r="C268" s="4">
        <f>SUMIFS(schedule[Labor CPP], schedule[Start Date],"&lt;="&amp;day_cash_behind[[#This Row],[Date]], schedule[Finish Date],"&gt;="&amp;day_cash_behind[[#This Row],[Date]])</f>
        <v>0</v>
      </c>
      <c r="D268" s="4">
        <f>SUMIFS(schedule[Material CPP], schedule[Start Date],"&lt;="&amp;day_cash_behind[[#This Row],[Date]]-$D$2, schedule[Finish Date],"&gt;="&amp;day_cash_behind[[#This Row],[Date]]-$D$2)</f>
        <v>0</v>
      </c>
      <c r="E268" s="4">
        <f>SUMIFS(schedule[Equipment CPP], schedule[Start Date],"&lt;="&amp;day_cash_behind[[#This Row],[Date]]-$E$2, schedule[Finish Date],"&gt;="&amp;day_cash_behind[[#This Row],[Date]]-$E$2)</f>
        <v>0</v>
      </c>
      <c r="F268" s="4">
        <f>SUMIFS(schedule[Sub CPP], schedule[Start Date],"&lt;="&amp;day_cash_behind[[#This Row],[Date]]-$F$2, schedule[Finish Date],"&gt;="&amp;day_cash_behind[[#This Row],[Date]]-$F$2)</f>
        <v>0</v>
      </c>
      <c r="G268" s="3">
        <f>SUMIFS(schedule[Other CPP], schedule[Start Date],"&lt;="&amp;day_cash_behind[[#This Row],[Date]]-$G$2, schedule[Finish Date],"&gt;="&amp;day_cash_behind[[#This Row],[Date]]-$G$2)</f>
        <v>0</v>
      </c>
      <c r="H268" s="3">
        <f>SUM(day_cash_behind[[#This Row],[Labor Cost]:[Other Cost]])</f>
        <v>0</v>
      </c>
      <c r="I268" s="3">
        <f>SUMIFS(schedule[Revenue per Day], schedule[Start Date],"&lt;="&amp;day_cash_behind[[#This Row],[Date]]-$I$2, schedule[Finish Date],"&gt;="&amp;day_cash_behind[[#This Row],[Date]]-$I$2)</f>
        <v>0</v>
      </c>
      <c r="J268" s="3">
        <f>SUM(day_cash_behind[[#Headers],[Labor Cost]]:day_cash_behind[[#This Row],[Labor Cost]])</f>
        <v>594999.99999999988</v>
      </c>
      <c r="K268" s="3">
        <f>SUM(day_cash_behind[[#Headers],[Material Cost]]:day_cash_behind[[#This Row],[Material Cost]])</f>
        <v>261249.99999999951</v>
      </c>
      <c r="L268" s="3">
        <f>SUM(day_cash_behind[[#Headers],[Equipment Cost]]:day_cash_behind[[#This Row],[Equipment Cost]])</f>
        <v>87999.999999999796</v>
      </c>
      <c r="M268" s="3">
        <f>SUM(day_cash_behind[[#Headers],[Sub Cost]]:day_cash_behind[[#This Row],[Sub Cost]])</f>
        <v>730249.99999999872</v>
      </c>
      <c r="N268" s="3">
        <f>SUM(day_cash_behind[[#Headers],[Other Cost]]:day_cash_behind[[#This Row],[Other Cost]])</f>
        <v>58499.999999999847</v>
      </c>
      <c r="O268" s="3">
        <f>SUM(day_cash_behind[[#This Row],[Cumulative Labor]:[Cumulative Other]])</f>
        <v>1732999.9999999977</v>
      </c>
      <c r="P268" s="3">
        <f>SUM(day_cash_behind[[#Headers],[Revenue]]:day_cash_behind[[#This Row],[Revenue]])</f>
        <v>2103717.4999999977</v>
      </c>
    </row>
    <row r="269" spans="2:16" x14ac:dyDescent="0.45">
      <c r="B269" s="1">
        <v>46652</v>
      </c>
      <c r="C269" s="4">
        <f>SUMIFS(schedule[Labor CPP], schedule[Start Date],"&lt;="&amp;day_cash_behind[[#This Row],[Date]], schedule[Finish Date],"&gt;="&amp;day_cash_behind[[#This Row],[Date]])</f>
        <v>0</v>
      </c>
      <c r="D269" s="4">
        <f>SUMIFS(schedule[Material CPP], schedule[Start Date],"&lt;="&amp;day_cash_behind[[#This Row],[Date]]-$D$2, schedule[Finish Date],"&gt;="&amp;day_cash_behind[[#This Row],[Date]]-$D$2)</f>
        <v>0</v>
      </c>
      <c r="E269" s="4">
        <f>SUMIFS(schedule[Equipment CPP], schedule[Start Date],"&lt;="&amp;day_cash_behind[[#This Row],[Date]]-$E$2, schedule[Finish Date],"&gt;="&amp;day_cash_behind[[#This Row],[Date]]-$E$2)</f>
        <v>0</v>
      </c>
      <c r="F269" s="4">
        <f>SUMIFS(schedule[Sub CPP], schedule[Start Date],"&lt;="&amp;day_cash_behind[[#This Row],[Date]]-$F$2, schedule[Finish Date],"&gt;="&amp;day_cash_behind[[#This Row],[Date]]-$F$2)</f>
        <v>0</v>
      </c>
      <c r="G269" s="3">
        <f>SUMIFS(schedule[Other CPP], schedule[Start Date],"&lt;="&amp;day_cash_behind[[#This Row],[Date]]-$G$2, schedule[Finish Date],"&gt;="&amp;day_cash_behind[[#This Row],[Date]]-$G$2)</f>
        <v>0</v>
      </c>
      <c r="H269" s="3">
        <f>SUM(day_cash_behind[[#This Row],[Labor Cost]:[Other Cost]])</f>
        <v>0</v>
      </c>
      <c r="I269" s="3">
        <f>SUMIFS(schedule[Revenue per Day], schedule[Start Date],"&lt;="&amp;day_cash_behind[[#This Row],[Date]]-$I$2, schedule[Finish Date],"&gt;="&amp;day_cash_behind[[#This Row],[Date]]-$I$2)</f>
        <v>0</v>
      </c>
      <c r="J269" s="3">
        <f>SUM(day_cash_behind[[#Headers],[Labor Cost]]:day_cash_behind[[#This Row],[Labor Cost]])</f>
        <v>594999.99999999988</v>
      </c>
      <c r="K269" s="3">
        <f>SUM(day_cash_behind[[#Headers],[Material Cost]]:day_cash_behind[[#This Row],[Material Cost]])</f>
        <v>261249.99999999951</v>
      </c>
      <c r="L269" s="3">
        <f>SUM(day_cash_behind[[#Headers],[Equipment Cost]]:day_cash_behind[[#This Row],[Equipment Cost]])</f>
        <v>87999.999999999796</v>
      </c>
      <c r="M269" s="3">
        <f>SUM(day_cash_behind[[#Headers],[Sub Cost]]:day_cash_behind[[#This Row],[Sub Cost]])</f>
        <v>730249.99999999872</v>
      </c>
      <c r="N269" s="3">
        <f>SUM(day_cash_behind[[#Headers],[Other Cost]]:day_cash_behind[[#This Row],[Other Cost]])</f>
        <v>58499.999999999847</v>
      </c>
      <c r="O269" s="3">
        <f>SUM(day_cash_behind[[#This Row],[Cumulative Labor]:[Cumulative Other]])</f>
        <v>1732999.9999999977</v>
      </c>
      <c r="P269" s="3">
        <f>SUM(day_cash_behind[[#Headers],[Revenue]]:day_cash_behind[[#This Row],[Revenue]])</f>
        <v>2103717.4999999977</v>
      </c>
    </row>
    <row r="270" spans="2:16" x14ac:dyDescent="0.45">
      <c r="B270" s="1">
        <v>46653</v>
      </c>
      <c r="C270" s="4">
        <f>SUMIFS(schedule[Labor CPP], schedule[Start Date],"&lt;="&amp;day_cash_behind[[#This Row],[Date]], schedule[Finish Date],"&gt;="&amp;day_cash_behind[[#This Row],[Date]])</f>
        <v>0</v>
      </c>
      <c r="D270" s="4">
        <f>SUMIFS(schedule[Material CPP], schedule[Start Date],"&lt;="&amp;day_cash_behind[[#This Row],[Date]]-$D$2, schedule[Finish Date],"&gt;="&amp;day_cash_behind[[#This Row],[Date]]-$D$2)</f>
        <v>0</v>
      </c>
      <c r="E270" s="4">
        <f>SUMIFS(schedule[Equipment CPP], schedule[Start Date],"&lt;="&amp;day_cash_behind[[#This Row],[Date]]-$E$2, schedule[Finish Date],"&gt;="&amp;day_cash_behind[[#This Row],[Date]]-$E$2)</f>
        <v>0</v>
      </c>
      <c r="F270" s="4">
        <f>SUMIFS(schedule[Sub CPP], schedule[Start Date],"&lt;="&amp;day_cash_behind[[#This Row],[Date]]-$F$2, schedule[Finish Date],"&gt;="&amp;day_cash_behind[[#This Row],[Date]]-$F$2)</f>
        <v>0</v>
      </c>
      <c r="G270" s="3">
        <f>SUMIFS(schedule[Other CPP], schedule[Start Date],"&lt;="&amp;day_cash_behind[[#This Row],[Date]]-$G$2, schedule[Finish Date],"&gt;="&amp;day_cash_behind[[#This Row],[Date]]-$G$2)</f>
        <v>0</v>
      </c>
      <c r="H270" s="3">
        <f>SUM(day_cash_behind[[#This Row],[Labor Cost]:[Other Cost]])</f>
        <v>0</v>
      </c>
      <c r="I270" s="3">
        <f>SUMIFS(schedule[Revenue per Day], schedule[Start Date],"&lt;="&amp;day_cash_behind[[#This Row],[Date]]-$I$2, schedule[Finish Date],"&gt;="&amp;day_cash_behind[[#This Row],[Date]]-$I$2)</f>
        <v>0</v>
      </c>
      <c r="J270" s="3">
        <f>SUM(day_cash_behind[[#Headers],[Labor Cost]]:day_cash_behind[[#This Row],[Labor Cost]])</f>
        <v>594999.99999999988</v>
      </c>
      <c r="K270" s="3">
        <f>SUM(day_cash_behind[[#Headers],[Material Cost]]:day_cash_behind[[#This Row],[Material Cost]])</f>
        <v>261249.99999999951</v>
      </c>
      <c r="L270" s="3">
        <f>SUM(day_cash_behind[[#Headers],[Equipment Cost]]:day_cash_behind[[#This Row],[Equipment Cost]])</f>
        <v>87999.999999999796</v>
      </c>
      <c r="M270" s="3">
        <f>SUM(day_cash_behind[[#Headers],[Sub Cost]]:day_cash_behind[[#This Row],[Sub Cost]])</f>
        <v>730249.99999999872</v>
      </c>
      <c r="N270" s="3">
        <f>SUM(day_cash_behind[[#Headers],[Other Cost]]:day_cash_behind[[#This Row],[Other Cost]])</f>
        <v>58499.999999999847</v>
      </c>
      <c r="O270" s="3">
        <f>SUM(day_cash_behind[[#This Row],[Cumulative Labor]:[Cumulative Other]])</f>
        <v>1732999.9999999977</v>
      </c>
      <c r="P270" s="3">
        <f>SUM(day_cash_behind[[#Headers],[Revenue]]:day_cash_behind[[#This Row],[Revenue]])</f>
        <v>2103717.4999999977</v>
      </c>
    </row>
    <row r="271" spans="2:16" x14ac:dyDescent="0.45">
      <c r="B271" s="1">
        <v>46654</v>
      </c>
      <c r="C271" s="4">
        <f>SUMIFS(schedule[Labor CPP], schedule[Start Date],"&lt;="&amp;day_cash_behind[[#This Row],[Date]], schedule[Finish Date],"&gt;="&amp;day_cash_behind[[#This Row],[Date]])</f>
        <v>0</v>
      </c>
      <c r="D271" s="4">
        <f>SUMIFS(schedule[Material CPP], schedule[Start Date],"&lt;="&amp;day_cash_behind[[#This Row],[Date]]-$D$2, schedule[Finish Date],"&gt;="&amp;day_cash_behind[[#This Row],[Date]]-$D$2)</f>
        <v>0</v>
      </c>
      <c r="E271" s="4">
        <f>SUMIFS(schedule[Equipment CPP], schedule[Start Date],"&lt;="&amp;day_cash_behind[[#This Row],[Date]]-$E$2, schedule[Finish Date],"&gt;="&amp;day_cash_behind[[#This Row],[Date]]-$E$2)</f>
        <v>0</v>
      </c>
      <c r="F271" s="4">
        <f>SUMIFS(schedule[Sub CPP], schedule[Start Date],"&lt;="&amp;day_cash_behind[[#This Row],[Date]]-$F$2, schedule[Finish Date],"&gt;="&amp;day_cash_behind[[#This Row],[Date]]-$F$2)</f>
        <v>0</v>
      </c>
      <c r="G271" s="3">
        <f>SUMIFS(schedule[Other CPP], schedule[Start Date],"&lt;="&amp;day_cash_behind[[#This Row],[Date]]-$G$2, schedule[Finish Date],"&gt;="&amp;day_cash_behind[[#This Row],[Date]]-$G$2)</f>
        <v>0</v>
      </c>
      <c r="H271" s="3">
        <f>SUM(day_cash_behind[[#This Row],[Labor Cost]:[Other Cost]])</f>
        <v>0</v>
      </c>
      <c r="I271" s="3">
        <f>SUMIFS(schedule[Revenue per Day], schedule[Start Date],"&lt;="&amp;day_cash_behind[[#This Row],[Date]]-$I$2, schedule[Finish Date],"&gt;="&amp;day_cash_behind[[#This Row],[Date]]-$I$2)</f>
        <v>0</v>
      </c>
      <c r="J271" s="3">
        <f>SUM(day_cash_behind[[#Headers],[Labor Cost]]:day_cash_behind[[#This Row],[Labor Cost]])</f>
        <v>594999.99999999988</v>
      </c>
      <c r="K271" s="3">
        <f>SUM(day_cash_behind[[#Headers],[Material Cost]]:day_cash_behind[[#This Row],[Material Cost]])</f>
        <v>261249.99999999951</v>
      </c>
      <c r="L271" s="3">
        <f>SUM(day_cash_behind[[#Headers],[Equipment Cost]]:day_cash_behind[[#This Row],[Equipment Cost]])</f>
        <v>87999.999999999796</v>
      </c>
      <c r="M271" s="3">
        <f>SUM(day_cash_behind[[#Headers],[Sub Cost]]:day_cash_behind[[#This Row],[Sub Cost]])</f>
        <v>730249.99999999872</v>
      </c>
      <c r="N271" s="3">
        <f>SUM(day_cash_behind[[#Headers],[Other Cost]]:day_cash_behind[[#This Row],[Other Cost]])</f>
        <v>58499.999999999847</v>
      </c>
      <c r="O271" s="3">
        <f>SUM(day_cash_behind[[#This Row],[Cumulative Labor]:[Cumulative Other]])</f>
        <v>1732999.9999999977</v>
      </c>
      <c r="P271" s="3">
        <f>SUM(day_cash_behind[[#Headers],[Revenue]]:day_cash_behind[[#This Row],[Revenue]])</f>
        <v>2103717.4999999977</v>
      </c>
    </row>
    <row r="272" spans="2:16" x14ac:dyDescent="0.45">
      <c r="B272" s="1">
        <v>46655</v>
      </c>
      <c r="C272" s="4">
        <f>SUMIFS(schedule[Labor CPP], schedule[Start Date],"&lt;="&amp;day_cash_behind[[#This Row],[Date]], schedule[Finish Date],"&gt;="&amp;day_cash_behind[[#This Row],[Date]])</f>
        <v>0</v>
      </c>
      <c r="D272" s="4">
        <f>SUMIFS(schedule[Material CPP], schedule[Start Date],"&lt;="&amp;day_cash_behind[[#This Row],[Date]]-$D$2, schedule[Finish Date],"&gt;="&amp;day_cash_behind[[#This Row],[Date]]-$D$2)</f>
        <v>0</v>
      </c>
      <c r="E272" s="4">
        <f>SUMIFS(schedule[Equipment CPP], schedule[Start Date],"&lt;="&amp;day_cash_behind[[#This Row],[Date]]-$E$2, schedule[Finish Date],"&gt;="&amp;day_cash_behind[[#This Row],[Date]]-$E$2)</f>
        <v>0</v>
      </c>
      <c r="F272" s="4">
        <f>SUMIFS(schedule[Sub CPP], schedule[Start Date],"&lt;="&amp;day_cash_behind[[#This Row],[Date]]-$F$2, schedule[Finish Date],"&gt;="&amp;day_cash_behind[[#This Row],[Date]]-$F$2)</f>
        <v>0</v>
      </c>
      <c r="G272" s="3">
        <f>SUMIFS(schedule[Other CPP], schedule[Start Date],"&lt;="&amp;day_cash_behind[[#This Row],[Date]]-$G$2, schedule[Finish Date],"&gt;="&amp;day_cash_behind[[#This Row],[Date]]-$G$2)</f>
        <v>0</v>
      </c>
      <c r="H272" s="3">
        <f>SUM(day_cash_behind[[#This Row],[Labor Cost]:[Other Cost]])</f>
        <v>0</v>
      </c>
      <c r="I272" s="3">
        <f>SUMIFS(schedule[Revenue per Day], schedule[Start Date],"&lt;="&amp;day_cash_behind[[#This Row],[Date]]-$I$2, schedule[Finish Date],"&gt;="&amp;day_cash_behind[[#This Row],[Date]]-$I$2)</f>
        <v>0</v>
      </c>
      <c r="J272" s="3">
        <f>SUM(day_cash_behind[[#Headers],[Labor Cost]]:day_cash_behind[[#This Row],[Labor Cost]])</f>
        <v>594999.99999999988</v>
      </c>
      <c r="K272" s="3">
        <f>SUM(day_cash_behind[[#Headers],[Material Cost]]:day_cash_behind[[#This Row],[Material Cost]])</f>
        <v>261249.99999999951</v>
      </c>
      <c r="L272" s="3">
        <f>SUM(day_cash_behind[[#Headers],[Equipment Cost]]:day_cash_behind[[#This Row],[Equipment Cost]])</f>
        <v>87999.999999999796</v>
      </c>
      <c r="M272" s="3">
        <f>SUM(day_cash_behind[[#Headers],[Sub Cost]]:day_cash_behind[[#This Row],[Sub Cost]])</f>
        <v>730249.99999999872</v>
      </c>
      <c r="N272" s="3">
        <f>SUM(day_cash_behind[[#Headers],[Other Cost]]:day_cash_behind[[#This Row],[Other Cost]])</f>
        <v>58499.999999999847</v>
      </c>
      <c r="O272" s="3">
        <f>SUM(day_cash_behind[[#This Row],[Cumulative Labor]:[Cumulative Other]])</f>
        <v>1732999.9999999977</v>
      </c>
      <c r="P272" s="3">
        <f>SUM(day_cash_behind[[#Headers],[Revenue]]:day_cash_behind[[#This Row],[Revenue]])</f>
        <v>2103717.4999999977</v>
      </c>
    </row>
    <row r="273" spans="2:16" x14ac:dyDescent="0.45">
      <c r="B273" s="1">
        <v>46656</v>
      </c>
      <c r="C273" s="4">
        <f>SUMIFS(schedule[Labor CPP], schedule[Start Date],"&lt;="&amp;day_cash_behind[[#This Row],[Date]], schedule[Finish Date],"&gt;="&amp;day_cash_behind[[#This Row],[Date]])</f>
        <v>0</v>
      </c>
      <c r="D273" s="4">
        <f>SUMIFS(schedule[Material CPP], schedule[Start Date],"&lt;="&amp;day_cash_behind[[#This Row],[Date]]-$D$2, schedule[Finish Date],"&gt;="&amp;day_cash_behind[[#This Row],[Date]]-$D$2)</f>
        <v>0</v>
      </c>
      <c r="E273" s="4">
        <f>SUMIFS(schedule[Equipment CPP], schedule[Start Date],"&lt;="&amp;day_cash_behind[[#This Row],[Date]]-$E$2, schedule[Finish Date],"&gt;="&amp;day_cash_behind[[#This Row],[Date]]-$E$2)</f>
        <v>0</v>
      </c>
      <c r="F273" s="4">
        <f>SUMIFS(schedule[Sub CPP], schedule[Start Date],"&lt;="&amp;day_cash_behind[[#This Row],[Date]]-$F$2, schedule[Finish Date],"&gt;="&amp;day_cash_behind[[#This Row],[Date]]-$F$2)</f>
        <v>0</v>
      </c>
      <c r="G273" s="3">
        <f>SUMIFS(schedule[Other CPP], schedule[Start Date],"&lt;="&amp;day_cash_behind[[#This Row],[Date]]-$G$2, schedule[Finish Date],"&gt;="&amp;day_cash_behind[[#This Row],[Date]]-$G$2)</f>
        <v>0</v>
      </c>
      <c r="H273" s="3">
        <f>SUM(day_cash_behind[[#This Row],[Labor Cost]:[Other Cost]])</f>
        <v>0</v>
      </c>
      <c r="I273" s="3">
        <f>SUMIFS(schedule[Revenue per Day], schedule[Start Date],"&lt;="&amp;day_cash_behind[[#This Row],[Date]]-$I$2, schedule[Finish Date],"&gt;="&amp;day_cash_behind[[#This Row],[Date]]-$I$2)</f>
        <v>0</v>
      </c>
      <c r="J273" s="3">
        <f>SUM(day_cash_behind[[#Headers],[Labor Cost]]:day_cash_behind[[#This Row],[Labor Cost]])</f>
        <v>594999.99999999988</v>
      </c>
      <c r="K273" s="3">
        <f>SUM(day_cash_behind[[#Headers],[Material Cost]]:day_cash_behind[[#This Row],[Material Cost]])</f>
        <v>261249.99999999951</v>
      </c>
      <c r="L273" s="3">
        <f>SUM(day_cash_behind[[#Headers],[Equipment Cost]]:day_cash_behind[[#This Row],[Equipment Cost]])</f>
        <v>87999.999999999796</v>
      </c>
      <c r="M273" s="3">
        <f>SUM(day_cash_behind[[#Headers],[Sub Cost]]:day_cash_behind[[#This Row],[Sub Cost]])</f>
        <v>730249.99999999872</v>
      </c>
      <c r="N273" s="3">
        <f>SUM(day_cash_behind[[#Headers],[Other Cost]]:day_cash_behind[[#This Row],[Other Cost]])</f>
        <v>58499.999999999847</v>
      </c>
      <c r="O273" s="3">
        <f>SUM(day_cash_behind[[#This Row],[Cumulative Labor]:[Cumulative Other]])</f>
        <v>1732999.9999999977</v>
      </c>
      <c r="P273" s="3">
        <f>SUM(day_cash_behind[[#Headers],[Revenue]]:day_cash_behind[[#This Row],[Revenue]])</f>
        <v>2103717.4999999977</v>
      </c>
    </row>
    <row r="274" spans="2:16" x14ac:dyDescent="0.45">
      <c r="B274" s="1">
        <v>46657</v>
      </c>
      <c r="C274" s="4">
        <f>SUMIFS(schedule[Labor CPP], schedule[Start Date],"&lt;="&amp;day_cash_behind[[#This Row],[Date]], schedule[Finish Date],"&gt;="&amp;day_cash_behind[[#This Row],[Date]])</f>
        <v>0</v>
      </c>
      <c r="D274" s="4">
        <f>SUMIFS(schedule[Material CPP], schedule[Start Date],"&lt;="&amp;day_cash_behind[[#This Row],[Date]]-$D$2, schedule[Finish Date],"&gt;="&amp;day_cash_behind[[#This Row],[Date]]-$D$2)</f>
        <v>0</v>
      </c>
      <c r="E274" s="4">
        <f>SUMIFS(schedule[Equipment CPP], schedule[Start Date],"&lt;="&amp;day_cash_behind[[#This Row],[Date]]-$E$2, schedule[Finish Date],"&gt;="&amp;day_cash_behind[[#This Row],[Date]]-$E$2)</f>
        <v>0</v>
      </c>
      <c r="F274" s="4">
        <f>SUMIFS(schedule[Sub CPP], schedule[Start Date],"&lt;="&amp;day_cash_behind[[#This Row],[Date]]-$F$2, schedule[Finish Date],"&gt;="&amp;day_cash_behind[[#This Row],[Date]]-$F$2)</f>
        <v>0</v>
      </c>
      <c r="G274" s="3">
        <f>SUMIFS(schedule[Other CPP], schedule[Start Date],"&lt;="&amp;day_cash_behind[[#This Row],[Date]]-$G$2, schedule[Finish Date],"&gt;="&amp;day_cash_behind[[#This Row],[Date]]-$G$2)</f>
        <v>0</v>
      </c>
      <c r="H274" s="3">
        <f>SUM(day_cash_behind[[#This Row],[Labor Cost]:[Other Cost]])</f>
        <v>0</v>
      </c>
      <c r="I274" s="3">
        <f>SUMIFS(schedule[Revenue per Day], schedule[Start Date],"&lt;="&amp;day_cash_behind[[#This Row],[Date]]-$I$2, schedule[Finish Date],"&gt;="&amp;day_cash_behind[[#This Row],[Date]]-$I$2)</f>
        <v>0</v>
      </c>
      <c r="J274" s="3">
        <f>SUM(day_cash_behind[[#Headers],[Labor Cost]]:day_cash_behind[[#This Row],[Labor Cost]])</f>
        <v>594999.99999999988</v>
      </c>
      <c r="K274" s="3">
        <f>SUM(day_cash_behind[[#Headers],[Material Cost]]:day_cash_behind[[#This Row],[Material Cost]])</f>
        <v>261249.99999999951</v>
      </c>
      <c r="L274" s="3">
        <f>SUM(day_cash_behind[[#Headers],[Equipment Cost]]:day_cash_behind[[#This Row],[Equipment Cost]])</f>
        <v>87999.999999999796</v>
      </c>
      <c r="M274" s="3">
        <f>SUM(day_cash_behind[[#Headers],[Sub Cost]]:day_cash_behind[[#This Row],[Sub Cost]])</f>
        <v>730249.99999999872</v>
      </c>
      <c r="N274" s="3">
        <f>SUM(day_cash_behind[[#Headers],[Other Cost]]:day_cash_behind[[#This Row],[Other Cost]])</f>
        <v>58499.999999999847</v>
      </c>
      <c r="O274" s="3">
        <f>SUM(day_cash_behind[[#This Row],[Cumulative Labor]:[Cumulative Other]])</f>
        <v>1732999.9999999977</v>
      </c>
      <c r="P274" s="3">
        <f>SUM(day_cash_behind[[#Headers],[Revenue]]:day_cash_behind[[#This Row],[Revenue]])</f>
        <v>2103717.4999999977</v>
      </c>
    </row>
    <row r="275" spans="2:16" x14ac:dyDescent="0.45">
      <c r="B275" s="1">
        <v>46658</v>
      </c>
      <c r="C275" s="4">
        <f>SUMIFS(schedule[Labor CPP], schedule[Start Date],"&lt;="&amp;day_cash_behind[[#This Row],[Date]], schedule[Finish Date],"&gt;="&amp;day_cash_behind[[#This Row],[Date]])</f>
        <v>0</v>
      </c>
      <c r="D275" s="4">
        <f>SUMIFS(schedule[Material CPP], schedule[Start Date],"&lt;="&amp;day_cash_behind[[#This Row],[Date]]-$D$2, schedule[Finish Date],"&gt;="&amp;day_cash_behind[[#This Row],[Date]]-$D$2)</f>
        <v>0</v>
      </c>
      <c r="E275" s="4">
        <f>SUMIFS(schedule[Equipment CPP], schedule[Start Date],"&lt;="&amp;day_cash_behind[[#This Row],[Date]]-$E$2, schedule[Finish Date],"&gt;="&amp;day_cash_behind[[#This Row],[Date]]-$E$2)</f>
        <v>0</v>
      </c>
      <c r="F275" s="4">
        <f>SUMIFS(schedule[Sub CPP], schedule[Start Date],"&lt;="&amp;day_cash_behind[[#This Row],[Date]]-$F$2, schedule[Finish Date],"&gt;="&amp;day_cash_behind[[#This Row],[Date]]-$F$2)</f>
        <v>0</v>
      </c>
      <c r="G275" s="3">
        <f>SUMIFS(schedule[Other CPP], schedule[Start Date],"&lt;="&amp;day_cash_behind[[#This Row],[Date]]-$G$2, schedule[Finish Date],"&gt;="&amp;day_cash_behind[[#This Row],[Date]]-$G$2)</f>
        <v>0</v>
      </c>
      <c r="H275" s="3">
        <f>SUM(day_cash_behind[[#This Row],[Labor Cost]:[Other Cost]])</f>
        <v>0</v>
      </c>
      <c r="I275" s="3">
        <f>SUMIFS(schedule[Revenue per Day], schedule[Start Date],"&lt;="&amp;day_cash_behind[[#This Row],[Date]]-$I$2, schedule[Finish Date],"&gt;="&amp;day_cash_behind[[#This Row],[Date]]-$I$2)</f>
        <v>0</v>
      </c>
      <c r="J275" s="3">
        <f>SUM(day_cash_behind[[#Headers],[Labor Cost]]:day_cash_behind[[#This Row],[Labor Cost]])</f>
        <v>594999.99999999988</v>
      </c>
      <c r="K275" s="3">
        <f>SUM(day_cash_behind[[#Headers],[Material Cost]]:day_cash_behind[[#This Row],[Material Cost]])</f>
        <v>261249.99999999951</v>
      </c>
      <c r="L275" s="3">
        <f>SUM(day_cash_behind[[#Headers],[Equipment Cost]]:day_cash_behind[[#This Row],[Equipment Cost]])</f>
        <v>87999.999999999796</v>
      </c>
      <c r="M275" s="3">
        <f>SUM(day_cash_behind[[#Headers],[Sub Cost]]:day_cash_behind[[#This Row],[Sub Cost]])</f>
        <v>730249.99999999872</v>
      </c>
      <c r="N275" s="3">
        <f>SUM(day_cash_behind[[#Headers],[Other Cost]]:day_cash_behind[[#This Row],[Other Cost]])</f>
        <v>58499.999999999847</v>
      </c>
      <c r="O275" s="3">
        <f>SUM(day_cash_behind[[#This Row],[Cumulative Labor]:[Cumulative Other]])</f>
        <v>1732999.9999999977</v>
      </c>
      <c r="P275" s="3">
        <f>SUM(day_cash_behind[[#Headers],[Revenue]]:day_cash_behind[[#This Row],[Revenue]])</f>
        <v>2103717.4999999977</v>
      </c>
    </row>
    <row r="276" spans="2:16" x14ac:dyDescent="0.45">
      <c r="B276" s="1">
        <v>46659</v>
      </c>
      <c r="C276" s="4">
        <f>SUMIFS(schedule[Labor CPP], schedule[Start Date],"&lt;="&amp;day_cash_behind[[#This Row],[Date]], schedule[Finish Date],"&gt;="&amp;day_cash_behind[[#This Row],[Date]])</f>
        <v>0</v>
      </c>
      <c r="D276" s="4">
        <f>SUMIFS(schedule[Material CPP], schedule[Start Date],"&lt;="&amp;day_cash_behind[[#This Row],[Date]]-$D$2, schedule[Finish Date],"&gt;="&amp;day_cash_behind[[#This Row],[Date]]-$D$2)</f>
        <v>0</v>
      </c>
      <c r="E276" s="4">
        <f>SUMIFS(schedule[Equipment CPP], schedule[Start Date],"&lt;="&amp;day_cash_behind[[#This Row],[Date]]-$E$2, schedule[Finish Date],"&gt;="&amp;day_cash_behind[[#This Row],[Date]]-$E$2)</f>
        <v>0</v>
      </c>
      <c r="F276" s="4">
        <f>SUMIFS(schedule[Sub CPP], schedule[Start Date],"&lt;="&amp;day_cash_behind[[#This Row],[Date]]-$F$2, schedule[Finish Date],"&gt;="&amp;day_cash_behind[[#This Row],[Date]]-$F$2)</f>
        <v>0</v>
      </c>
      <c r="G276" s="3">
        <f>SUMIFS(schedule[Other CPP], schedule[Start Date],"&lt;="&amp;day_cash_behind[[#This Row],[Date]]-$G$2, schedule[Finish Date],"&gt;="&amp;day_cash_behind[[#This Row],[Date]]-$G$2)</f>
        <v>0</v>
      </c>
      <c r="H276" s="3">
        <f>SUM(day_cash_behind[[#This Row],[Labor Cost]:[Other Cost]])</f>
        <v>0</v>
      </c>
      <c r="I276" s="3">
        <f>SUMIFS(schedule[Revenue per Day], schedule[Start Date],"&lt;="&amp;day_cash_behind[[#This Row],[Date]]-$I$2, schedule[Finish Date],"&gt;="&amp;day_cash_behind[[#This Row],[Date]]-$I$2)</f>
        <v>0</v>
      </c>
      <c r="J276" s="3">
        <f>SUM(day_cash_behind[[#Headers],[Labor Cost]]:day_cash_behind[[#This Row],[Labor Cost]])</f>
        <v>594999.99999999988</v>
      </c>
      <c r="K276" s="3">
        <f>SUM(day_cash_behind[[#Headers],[Material Cost]]:day_cash_behind[[#This Row],[Material Cost]])</f>
        <v>261249.99999999951</v>
      </c>
      <c r="L276" s="3">
        <f>SUM(day_cash_behind[[#Headers],[Equipment Cost]]:day_cash_behind[[#This Row],[Equipment Cost]])</f>
        <v>87999.999999999796</v>
      </c>
      <c r="M276" s="3">
        <f>SUM(day_cash_behind[[#Headers],[Sub Cost]]:day_cash_behind[[#This Row],[Sub Cost]])</f>
        <v>730249.99999999872</v>
      </c>
      <c r="N276" s="3">
        <f>SUM(day_cash_behind[[#Headers],[Other Cost]]:day_cash_behind[[#This Row],[Other Cost]])</f>
        <v>58499.999999999847</v>
      </c>
      <c r="O276" s="3">
        <f>SUM(day_cash_behind[[#This Row],[Cumulative Labor]:[Cumulative Other]])</f>
        <v>1732999.9999999977</v>
      </c>
      <c r="P276" s="3">
        <f>SUM(day_cash_behind[[#Headers],[Revenue]]:day_cash_behind[[#This Row],[Revenue]])</f>
        <v>2103717.4999999977</v>
      </c>
    </row>
    <row r="277" spans="2:16" x14ac:dyDescent="0.45">
      <c r="B277" s="1">
        <v>46660</v>
      </c>
      <c r="C277" s="4">
        <f>SUMIFS(schedule[Labor CPP], schedule[Start Date],"&lt;="&amp;day_cash_behind[[#This Row],[Date]], schedule[Finish Date],"&gt;="&amp;day_cash_behind[[#This Row],[Date]])</f>
        <v>0</v>
      </c>
      <c r="D277" s="4">
        <f>SUMIFS(schedule[Material CPP], schedule[Start Date],"&lt;="&amp;day_cash_behind[[#This Row],[Date]]-$D$2, schedule[Finish Date],"&gt;="&amp;day_cash_behind[[#This Row],[Date]]-$D$2)</f>
        <v>0</v>
      </c>
      <c r="E277" s="4">
        <f>SUMIFS(schedule[Equipment CPP], schedule[Start Date],"&lt;="&amp;day_cash_behind[[#This Row],[Date]]-$E$2, schedule[Finish Date],"&gt;="&amp;day_cash_behind[[#This Row],[Date]]-$E$2)</f>
        <v>0</v>
      </c>
      <c r="F277" s="4">
        <f>SUMIFS(schedule[Sub CPP], schedule[Start Date],"&lt;="&amp;day_cash_behind[[#This Row],[Date]]-$F$2, schedule[Finish Date],"&gt;="&amp;day_cash_behind[[#This Row],[Date]]-$F$2)</f>
        <v>0</v>
      </c>
      <c r="G277" s="3">
        <f>SUMIFS(schedule[Other CPP], schedule[Start Date],"&lt;="&amp;day_cash_behind[[#This Row],[Date]]-$G$2, schedule[Finish Date],"&gt;="&amp;day_cash_behind[[#This Row],[Date]]-$G$2)</f>
        <v>0</v>
      </c>
      <c r="H277" s="3">
        <f>SUM(day_cash_behind[[#This Row],[Labor Cost]:[Other Cost]])</f>
        <v>0</v>
      </c>
      <c r="I277" s="3">
        <f>SUMIFS(schedule[Revenue per Day], schedule[Start Date],"&lt;="&amp;day_cash_behind[[#This Row],[Date]]-$I$2, schedule[Finish Date],"&gt;="&amp;day_cash_behind[[#This Row],[Date]]-$I$2)</f>
        <v>0</v>
      </c>
      <c r="J277" s="3">
        <f>SUM(day_cash_behind[[#Headers],[Labor Cost]]:day_cash_behind[[#This Row],[Labor Cost]])</f>
        <v>594999.99999999988</v>
      </c>
      <c r="K277" s="3">
        <f>SUM(day_cash_behind[[#Headers],[Material Cost]]:day_cash_behind[[#This Row],[Material Cost]])</f>
        <v>261249.99999999951</v>
      </c>
      <c r="L277" s="3">
        <f>SUM(day_cash_behind[[#Headers],[Equipment Cost]]:day_cash_behind[[#This Row],[Equipment Cost]])</f>
        <v>87999.999999999796</v>
      </c>
      <c r="M277" s="3">
        <f>SUM(day_cash_behind[[#Headers],[Sub Cost]]:day_cash_behind[[#This Row],[Sub Cost]])</f>
        <v>730249.99999999872</v>
      </c>
      <c r="N277" s="3">
        <f>SUM(day_cash_behind[[#Headers],[Other Cost]]:day_cash_behind[[#This Row],[Other Cost]])</f>
        <v>58499.999999999847</v>
      </c>
      <c r="O277" s="3">
        <f>SUM(day_cash_behind[[#This Row],[Cumulative Labor]:[Cumulative Other]])</f>
        <v>1732999.9999999977</v>
      </c>
      <c r="P277" s="3">
        <f>SUM(day_cash_behind[[#Headers],[Revenue]]:day_cash_behind[[#This Row],[Revenue]])</f>
        <v>2103717.4999999977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Estimate-Schedule</vt:lpstr>
      <vt:lpstr>Cashflow (on time)</vt:lpstr>
      <vt:lpstr>Cashflow (behind)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2026-07-23T03:49:13Z</dcterms:modified>
</cp:coreProperties>
</file>