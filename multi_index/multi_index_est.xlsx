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Mac\Home\Downloads\"/>
    </mc:Choice>
  </mc:AlternateContent>
  <xr:revisionPtr revIDLastSave="0" documentId="13_ncr:1_{7F242112-4046-4377-B6F2-AED414D216DE}" xr6:coauthVersionLast="47" xr6:coauthVersionMax="47" xr10:uidLastSave="{00000000-0000-0000-0000-000000000000}"/>
  <bookViews>
    <workbookView xWindow="-98" yWindow="-98" windowWidth="22245" windowHeight="13321" activeTab="2" xr2:uid="{00000000-000D-0000-FFFF-FFFF00000000}"/>
  </bookViews>
  <sheets>
    <sheet name="1 yr" sheetId="1" r:id="rId1"/>
    <sheet name="5 yr" sheetId="2" r:id="rId2"/>
    <sheet name="10 y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G3" i="3"/>
  <c r="G4" i="3"/>
  <c r="G5" i="3"/>
  <c r="G8" i="3" s="1"/>
  <c r="G6" i="3"/>
  <c r="H6" i="3" s="1"/>
  <c r="G7" i="3"/>
  <c r="D10" i="3"/>
  <c r="C10" i="3"/>
  <c r="H10" i="3" s="1"/>
  <c r="C8" i="3"/>
  <c r="H7" i="3"/>
  <c r="H4" i="3"/>
  <c r="G10" i="2"/>
  <c r="G3" i="2"/>
  <c r="G4" i="2"/>
  <c r="G5" i="2"/>
  <c r="H5" i="2" s="1"/>
  <c r="G6" i="2"/>
  <c r="H6" i="2" s="1"/>
  <c r="G7" i="2"/>
  <c r="D10" i="2"/>
  <c r="C8" i="2"/>
  <c r="C10" i="2" s="1"/>
  <c r="H10" i="2" s="1"/>
  <c r="H7" i="2"/>
  <c r="H4" i="2"/>
  <c r="G10" i="1"/>
  <c r="H10" i="1" s="1"/>
  <c r="G7" i="1"/>
  <c r="D10" i="1"/>
  <c r="C10" i="1"/>
  <c r="C8" i="1"/>
  <c r="G3" i="1"/>
  <c r="H3" i="1" s="1"/>
  <c r="G4" i="1"/>
  <c r="H4" i="1" s="1"/>
  <c r="G5" i="1"/>
  <c r="H5" i="1" s="1"/>
  <c r="G6" i="1"/>
  <c r="H6" i="1" s="1"/>
  <c r="H7" i="1"/>
  <c r="H5" i="3" l="1"/>
  <c r="H3" i="3"/>
  <c r="G8" i="2"/>
  <c r="H3" i="2"/>
  <c r="H8" i="2" s="1"/>
  <c r="G8" i="1"/>
  <c r="H8" i="1"/>
  <c r="H8" i="3" l="1"/>
</calcChain>
</file>

<file path=xl/sharedStrings.xml><?xml version="1.0" encoding="utf-8"?>
<sst xmlns="http://schemas.openxmlformats.org/spreadsheetml/2006/main" count="57" uniqueCount="19">
  <si>
    <t>Division</t>
  </si>
  <si>
    <t>Estimate</t>
  </si>
  <si>
    <t>Duration</t>
  </si>
  <si>
    <t>PPI_Index</t>
  </si>
  <si>
    <t>Concrete</t>
  </si>
  <si>
    <t>WPS1333</t>
  </si>
  <si>
    <t>Steel</t>
  </si>
  <si>
    <t>WPU1017</t>
  </si>
  <si>
    <t>Wood Framing</t>
  </si>
  <si>
    <t>WPU08</t>
  </si>
  <si>
    <t>Drywall</t>
  </si>
  <si>
    <t>WPU13710102</t>
  </si>
  <si>
    <t>Paint</t>
  </si>
  <si>
    <t>WPU0622</t>
  </si>
  <si>
    <t>Index_Chng</t>
  </si>
  <si>
    <t>Increase</t>
  </si>
  <si>
    <t>Escalated</t>
  </si>
  <si>
    <t>Total</t>
  </si>
  <si>
    <t>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</si>
</sst>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44" fontId="0" fillId="0" borderId="0" xfId="1" applyFont="1"/>
    <xf numFmtId="44" fontId="1" fillId="0" borderId="0" xfId="1" applyFont="1"/>
    <xf numFmtId="0" fontId="2" fillId="0" borderId="0" xfId="0" applyFont="1"/>
    <xf numFmtId="44" fontId="1" fillId="0" borderId="0" xfId="0" applyNumberFormat="1" applyFont="1"/>
  </cellXfs>
  <cellStyles count="2">
    <cellStyle name="Currency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634371-9BBF-4348-8C12-6470206AB729}" name="Table1" displayName="Table1" ref="B2:H8" totalsRowCount="1" headerRowDxfId="42" dataDxfId="43">
  <autoFilter ref="B2:H7" xr:uid="{84634371-9BBF-4348-8C12-6470206AB7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EAE0B13-2BCA-4090-823C-676939D8BF20}" name="Division" totalsRowLabel="Total" dataDxfId="47" totalsRowDxfId="38"/>
    <tableColumn id="2" xr3:uid="{05A596E2-6906-49BF-A3B7-656588B0EF03}" name="Estimate" totalsRowFunction="sum" dataDxfId="46" totalsRowDxfId="34" dataCellStyle="Currency"/>
    <tableColumn id="3" xr3:uid="{15E91EE0-DAF6-41F2-AA41-A66B1AC8FE67}" name="Duration" dataDxfId="45" totalsRowDxfId="37"/>
    <tableColumn id="4" xr3:uid="{A9BF864E-D30A-45E3-AA01-2D3D711BDCE3}" name="PPI_Index" dataDxfId="44" totalsRowDxfId="36"/>
    <tableColumn id="5" xr3:uid="{61DEDE7E-B08A-41C0-9047-D28CFFB2F63F}" name="Index_Chng" dataDxfId="41" totalsRowDxfId="35"/>
    <tableColumn id="6" xr3:uid="{C11E988C-DD4A-458C-AAA4-985A96B8A0D2}" name="Increase" totalsRowFunction="sum" dataDxfId="40" totalsRowDxfId="33">
      <calculatedColumnFormula>Table1[[#This Row],[Estimate]]*((1+Table1[[#This Row],[Index_Chng]])^(Table1[[#This Row],[Duration]]/365)-1)</calculatedColumnFormula>
    </tableColumn>
    <tableColumn id="7" xr3:uid="{26FCE16A-151B-4C76-B09E-141A232A063E}" name="Escalated" totalsRowFunction="sum" dataDxfId="39" totalsRowDxfId="32" dataCellStyle="Currency">
      <calculatedColumnFormula>SUM(Table1[[#This Row],[Increase]],Table1[[#This Row],[Estimate]])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EA936C-79C6-403D-B130-86617FFFCFA9}" name="Table13" displayName="Table13" ref="B2:H8" totalsRowCount="1" headerRowDxfId="31" dataDxfId="30">
  <autoFilter ref="B2:H7" xr:uid="{84634371-9BBF-4348-8C12-6470206AB7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437B8046-62F3-4825-9D31-151D70143134}" name="Division" totalsRowLabel="Total" dataDxfId="28" totalsRowDxfId="29"/>
    <tableColumn id="2" xr3:uid="{59129D7D-94D0-4B0F-8DEA-B2E2C43D89E1}" name="Estimate" totalsRowFunction="sum" dataDxfId="26" totalsRowDxfId="27" dataCellStyle="Currency"/>
    <tableColumn id="3" xr3:uid="{591A0676-9546-4DF0-A6AC-CC39AF78D795}" name="Duration" dataDxfId="24" totalsRowDxfId="25"/>
    <tableColumn id="4" xr3:uid="{6A2E1C85-A676-40EA-B0BE-76A47418C50C}" name="PPI_Index" dataDxfId="22" totalsRowDxfId="23"/>
    <tableColumn id="5" xr3:uid="{D992BD3F-FBDD-4C02-BFEC-419720AA064B}" name="Index_Chng" dataDxfId="20" totalsRowDxfId="21"/>
    <tableColumn id="6" xr3:uid="{ECA532F8-9E82-4E49-A4EF-5CDA0D68C7A5}" name="Increase" totalsRowFunction="sum" dataDxfId="16" totalsRowDxfId="19">
      <calculatedColumnFormula>Table13[[#This Row],[Estimate]]*((1+Table13[[#This Row],[Index_Chng]])^(Table13[[#This Row],[Duration]]/1826)-1)</calculatedColumnFormula>
    </tableColumn>
    <tableColumn id="7" xr3:uid="{1B20D13E-B876-49FB-887C-C5B62FD9E264}" name="Escalated" totalsRowFunction="sum" dataDxfId="17" totalsRowDxfId="18" dataCellStyle="Currency">
      <calculatedColumnFormula>SUM(Table13[[#This Row],[Increase]],Table13[[#This Row],[Estimate]])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29C0B8-D321-4AFD-A583-4DFAB483E314}" name="Table134" displayName="Table134" ref="B2:H8" totalsRowCount="1" headerRowDxfId="15" dataDxfId="14">
  <autoFilter ref="B2:H7" xr:uid="{84634371-9BBF-4348-8C12-6470206AB7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3CB509FB-0A61-4DFF-88A2-0928134831A4}" name="Division" totalsRowLabel="Total" dataDxfId="12" totalsRowDxfId="13"/>
    <tableColumn id="2" xr3:uid="{A25A2163-1A44-47BB-9F6C-84AD2A735605}" name="Estimate" totalsRowFunction="sum" dataDxfId="10" totalsRowDxfId="11" dataCellStyle="Currency"/>
    <tableColumn id="3" xr3:uid="{E824E2C2-90B8-4778-9DFA-3EFE3F3AEE54}" name="Duration" dataDxfId="8" totalsRowDxfId="9"/>
    <tableColumn id="4" xr3:uid="{13ADFD35-97A7-428D-8B8F-5815E339A031}" name="PPI_Index" dataDxfId="6" totalsRowDxfId="7"/>
    <tableColumn id="5" xr3:uid="{FA427198-5B8F-4304-8AF0-48FA5DC79016}" name="Index_Chng" dataDxfId="4" totalsRowDxfId="5"/>
    <tableColumn id="6" xr3:uid="{621D048F-E02E-4844-B3AD-C476AA3E26DF}" name="Increase" totalsRowFunction="sum" dataDxfId="0" totalsRowDxfId="3">
      <calculatedColumnFormula>Table134[[#This Row],[Estimate]]*((1+Table134[[#This Row],[Index_Chng]])^(Table134[[#This Row],[Duration]]/3653)-1)</calculatedColumnFormula>
    </tableColumn>
    <tableColumn id="7" xr3:uid="{452E0C0D-4F77-4430-9CE5-23968F7FC924}" name="Escalated" totalsRowFunction="sum" dataDxfId="1" totalsRowDxfId="2" dataCellStyle="Currency">
      <calculatedColumnFormula>SUM(Table134[[#This Row],[Increase]],Table134[[#This Row],[Estimate]])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H10"/>
  <sheetViews>
    <sheetView showGridLines="0" workbookViewId="0">
      <selection activeCell="J7" sqref="J7"/>
    </sheetView>
  </sheetViews>
  <sheetFormatPr defaultColWidth="12.59765625" defaultRowHeight="15.75" customHeight="1" x14ac:dyDescent="0.35"/>
  <cols>
    <col min="2" max="2" width="12.796875" bestFit="1" customWidth="1"/>
    <col min="3" max="3" width="12" style="2" bestFit="1" customWidth="1"/>
    <col min="4" max="4" width="10.19921875" customWidth="1"/>
    <col min="5" max="5" width="13.06640625" bestFit="1" customWidth="1"/>
    <col min="8" max="8" width="12.59765625" style="2"/>
  </cols>
  <sheetData>
    <row r="2" spans="2:8" x14ac:dyDescent="0.35">
      <c r="B2" s="1" t="s">
        <v>0</v>
      </c>
      <c r="C2" s="3" t="s">
        <v>1</v>
      </c>
      <c r="D2" s="1" t="s">
        <v>2</v>
      </c>
      <c r="E2" s="1" t="s">
        <v>3</v>
      </c>
      <c r="F2" s="1" t="s">
        <v>14</v>
      </c>
      <c r="G2" s="1" t="s">
        <v>15</v>
      </c>
      <c r="H2" s="3" t="s">
        <v>16</v>
      </c>
    </row>
    <row r="3" spans="2:8" x14ac:dyDescent="0.35">
      <c r="B3" s="1" t="s">
        <v>4</v>
      </c>
      <c r="C3" s="3">
        <v>125000</v>
      </c>
      <c r="D3" s="1">
        <v>30</v>
      </c>
      <c r="E3" s="1" t="s">
        <v>5</v>
      </c>
      <c r="F3" s="1">
        <v>-2.5936873245729799E-4</v>
      </c>
      <c r="G3" s="5">
        <f>Table1[[#This Row],[Estimate]]*((1+Table1[[#This Row],[Index_Chng]])^(Table1[[#This Row],[Duration]]/365)-1)</f>
        <v>-2.6650644764231179</v>
      </c>
      <c r="H3" s="3">
        <f>SUM(Table1[[#This Row],[Increase]],Table1[[#This Row],[Estimate]])</f>
        <v>124997.33493552358</v>
      </c>
    </row>
    <row r="4" spans="2:8" x14ac:dyDescent="0.35">
      <c r="B4" s="1" t="s">
        <v>6</v>
      </c>
      <c r="C4" s="3">
        <v>97500</v>
      </c>
      <c r="D4" s="1">
        <v>60</v>
      </c>
      <c r="E4" s="1" t="s">
        <v>7</v>
      </c>
      <c r="F4" s="1">
        <v>0.205709523135918</v>
      </c>
      <c r="G4" s="5">
        <f>Table1[[#This Row],[Estimate]]*((1+Table1[[#This Row],[Index_Chng]])^(Table1[[#This Row],[Duration]]/365)-1)</f>
        <v>3044.7916790321165</v>
      </c>
      <c r="H4" s="3">
        <f>SUM(Table1[[#This Row],[Increase]],Table1[[#This Row],[Estimate]])</f>
        <v>100544.79167903212</v>
      </c>
    </row>
    <row r="5" spans="2:8" x14ac:dyDescent="0.35">
      <c r="B5" s="1" t="s">
        <v>8</v>
      </c>
      <c r="C5" s="3">
        <v>215000</v>
      </c>
      <c r="D5" s="1">
        <v>90</v>
      </c>
      <c r="E5" s="1" t="s">
        <v>9</v>
      </c>
      <c r="F5" s="1">
        <v>1.8926664192156801E-3</v>
      </c>
      <c r="G5" s="5">
        <f>Table1[[#This Row],[Estimate]]*((1+Table1[[#This Row],[Index_Chng]])^(Table1[[#This Row],[Duration]]/365)-1)</f>
        <v>100.26578665933927</v>
      </c>
      <c r="H5" s="3">
        <f>SUM(Table1[[#This Row],[Increase]],Table1[[#This Row],[Estimate]])</f>
        <v>215100.26578665935</v>
      </c>
    </row>
    <row r="6" spans="2:8" x14ac:dyDescent="0.35">
      <c r="B6" s="1" t="s">
        <v>10</v>
      </c>
      <c r="C6" s="3">
        <v>192000</v>
      </c>
      <c r="D6" s="1">
        <v>150</v>
      </c>
      <c r="E6" s="1" t="s">
        <v>11</v>
      </c>
      <c r="F6" s="1">
        <v>-1.9524548647987399E-3</v>
      </c>
      <c r="G6" s="5">
        <f>Table1[[#This Row],[Estimate]]*((1+Table1[[#This Row],[Index_Chng]])^(Table1[[#This Row],[Duration]]/365)-1)</f>
        <v>-154.14539282756579</v>
      </c>
      <c r="H6" s="3">
        <f>SUM(Table1[[#This Row],[Increase]],Table1[[#This Row],[Estimate]])</f>
        <v>191845.85460717243</v>
      </c>
    </row>
    <row r="7" spans="2:8" x14ac:dyDescent="0.35">
      <c r="B7" s="1" t="s">
        <v>12</v>
      </c>
      <c r="C7" s="3">
        <v>34500</v>
      </c>
      <c r="D7" s="1">
        <v>160</v>
      </c>
      <c r="E7" s="1" t="s">
        <v>13</v>
      </c>
      <c r="F7" s="1">
        <v>0.10466988727858299</v>
      </c>
      <c r="G7" s="5">
        <f>Table1[[#This Row],[Estimate]]*((1+Table1[[#This Row],[Index_Chng]])^(Table1[[#This Row],[Duration]]/365)-1)</f>
        <v>1538.8010876548569</v>
      </c>
      <c r="H7" s="3">
        <f>SUM(Table1[[#This Row],[Increase]],Table1[[#This Row],[Estimate]])</f>
        <v>36038.801087654858</v>
      </c>
    </row>
    <row r="8" spans="2:8" ht="15.75" customHeight="1" x14ac:dyDescent="0.35">
      <c r="B8" s="1" t="s">
        <v>17</v>
      </c>
      <c r="C8" s="5">
        <f>SUBTOTAL(109,Table1[Estimate])</f>
        <v>664000</v>
      </c>
      <c r="D8" s="1"/>
      <c r="E8" s="1"/>
      <c r="F8" s="1"/>
      <c r="G8" s="5">
        <f>SUBTOTAL(109,Table1[Increase])</f>
        <v>4527.0480960423238</v>
      </c>
      <c r="H8" s="5">
        <f>SUBTOTAL(109,Table1[Escalated])</f>
        <v>668527.04809604236</v>
      </c>
    </row>
    <row r="10" spans="2:8" ht="15.75" customHeight="1" x14ac:dyDescent="0.35">
      <c r="B10" s="4" t="s">
        <v>18</v>
      </c>
      <c r="C10" s="2">
        <f>Table1[[#Totals],[Estimate]]</f>
        <v>664000</v>
      </c>
      <c r="D10">
        <f>D7</f>
        <v>160</v>
      </c>
      <c r="F10">
        <v>2.4277276966117499E-2</v>
      </c>
      <c r="G10" s="2">
        <f>C10*((1+F10)^(D10/365)-1)</f>
        <v>7018.7744462045321</v>
      </c>
      <c r="H10" s="2">
        <f>SUM(G10,C10)</f>
        <v>671018.77444620454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A441-A3F3-4D7B-9642-2D3AC0919D61}">
  <sheetPr>
    <outlinePr summaryBelow="0" summaryRight="0"/>
  </sheetPr>
  <dimension ref="B2:H10"/>
  <sheetViews>
    <sheetView showGridLines="0" workbookViewId="0">
      <selection activeCell="H20" sqref="H20"/>
    </sheetView>
  </sheetViews>
  <sheetFormatPr defaultColWidth="12.59765625" defaultRowHeight="15.75" customHeight="1" x14ac:dyDescent="0.35"/>
  <cols>
    <col min="2" max="2" width="12.796875" bestFit="1" customWidth="1"/>
    <col min="3" max="3" width="12" style="2" bestFit="1" customWidth="1"/>
    <col min="4" max="4" width="10.19921875" customWidth="1"/>
    <col min="5" max="5" width="13.06640625" bestFit="1" customWidth="1"/>
    <col min="8" max="8" width="12.59765625" style="2"/>
  </cols>
  <sheetData>
    <row r="2" spans="2:8" x14ac:dyDescent="0.35">
      <c r="B2" s="1" t="s">
        <v>0</v>
      </c>
      <c r="C2" s="3" t="s">
        <v>1</v>
      </c>
      <c r="D2" s="1" t="s">
        <v>2</v>
      </c>
      <c r="E2" s="1" t="s">
        <v>3</v>
      </c>
      <c r="F2" s="1" t="s">
        <v>14</v>
      </c>
      <c r="G2" s="1" t="s">
        <v>15</v>
      </c>
      <c r="H2" s="3" t="s">
        <v>16</v>
      </c>
    </row>
    <row r="3" spans="2:8" x14ac:dyDescent="0.35">
      <c r="B3" s="1" t="s">
        <v>4</v>
      </c>
      <c r="C3" s="3">
        <v>125000</v>
      </c>
      <c r="D3" s="1">
        <v>30</v>
      </c>
      <c r="E3" s="1" t="s">
        <v>5</v>
      </c>
      <c r="F3">
        <v>0.36120979020978999</v>
      </c>
      <c r="G3" s="5">
        <f>Table13[[#This Row],[Estimate]]*((1+Table13[[#This Row],[Index_Chng]])^(Table13[[#This Row],[Duration]]/1826)-1)</f>
        <v>634.90487456660526</v>
      </c>
      <c r="H3" s="3">
        <f>SUM(Table13[[#This Row],[Increase]],Table13[[#This Row],[Estimate]])</f>
        <v>125634.90487456661</v>
      </c>
    </row>
    <row r="4" spans="2:8" x14ac:dyDescent="0.35">
      <c r="B4" s="1" t="s">
        <v>6</v>
      </c>
      <c r="C4" s="3">
        <v>97500</v>
      </c>
      <c r="D4" s="1">
        <v>60</v>
      </c>
      <c r="E4" s="1" t="s">
        <v>7</v>
      </c>
      <c r="F4">
        <v>0.51619711538461599</v>
      </c>
      <c r="G4" s="5">
        <f>Table13[[#This Row],[Estimate]]*((1+Table13[[#This Row],[Index_Chng]])^(Table13[[#This Row],[Duration]]/1826)-1)</f>
        <v>1342.566432625521</v>
      </c>
      <c r="H4" s="3">
        <f>SUM(Table13[[#This Row],[Increase]],Table13[[#This Row],[Estimate]])</f>
        <v>98842.566432625521</v>
      </c>
    </row>
    <row r="5" spans="2:8" x14ac:dyDescent="0.35">
      <c r="B5" s="1" t="s">
        <v>8</v>
      </c>
      <c r="C5" s="3">
        <v>215000</v>
      </c>
      <c r="D5" s="1">
        <v>90</v>
      </c>
      <c r="E5" s="1" t="s">
        <v>9</v>
      </c>
      <c r="F5">
        <v>2.4675102599179301E-2</v>
      </c>
      <c r="G5" s="5">
        <f>Table13[[#This Row],[Estimate]]*((1+Table13[[#This Row],[Index_Chng]])^(Table13[[#This Row],[Duration]]/1826)-1)</f>
        <v>258.46172106031128</v>
      </c>
      <c r="H5" s="3">
        <f>SUM(Table13[[#This Row],[Increase]],Table13[[#This Row],[Estimate]])</f>
        <v>215258.4617210603</v>
      </c>
    </row>
    <row r="6" spans="2:8" x14ac:dyDescent="0.35">
      <c r="B6" s="1" t="s">
        <v>10</v>
      </c>
      <c r="C6" s="3">
        <v>192000</v>
      </c>
      <c r="D6" s="1">
        <v>150</v>
      </c>
      <c r="E6" s="1" t="s">
        <v>11</v>
      </c>
      <c r="F6">
        <v>0.43617946708463901</v>
      </c>
      <c r="G6" s="5">
        <f>Table13[[#This Row],[Estimate]]*((1+Table13[[#This Row],[Index_Chng]])^(Table13[[#This Row],[Duration]]/1826)-1)</f>
        <v>5795.0489815798537</v>
      </c>
      <c r="H6" s="3">
        <f>SUM(Table13[[#This Row],[Increase]],Table13[[#This Row],[Estimate]])</f>
        <v>197795.04898157986</v>
      </c>
    </row>
    <row r="7" spans="2:8" x14ac:dyDescent="0.35">
      <c r="B7" s="1" t="s">
        <v>12</v>
      </c>
      <c r="C7" s="3">
        <v>34500</v>
      </c>
      <c r="D7" s="1">
        <v>160</v>
      </c>
      <c r="E7" s="1" t="s">
        <v>13</v>
      </c>
      <c r="F7">
        <v>0.42518630033872801</v>
      </c>
      <c r="G7" s="5">
        <f>Table13[[#This Row],[Estimate]]*((1+Table13[[#This Row],[Index_Chng]])^(Table13[[#This Row],[Duration]]/1826)-1)</f>
        <v>1087.8559157147315</v>
      </c>
      <c r="H7" s="3">
        <f>SUM(Table13[[#This Row],[Increase]],Table13[[#This Row],[Estimate]])</f>
        <v>35587.855915714732</v>
      </c>
    </row>
    <row r="8" spans="2:8" ht="15.75" customHeight="1" x14ac:dyDescent="0.35">
      <c r="B8" s="1" t="s">
        <v>17</v>
      </c>
      <c r="C8" s="5">
        <f>SUBTOTAL(109,Table13[Estimate])</f>
        <v>664000</v>
      </c>
      <c r="D8" s="1"/>
      <c r="E8" s="1"/>
      <c r="F8" s="1"/>
      <c r="G8" s="5">
        <f>SUBTOTAL(109,Table13[Increase])</f>
        <v>9118.8379255470227</v>
      </c>
      <c r="H8" s="5">
        <f>SUBTOTAL(109,Table13[Escalated])</f>
        <v>673118.83792554704</v>
      </c>
    </row>
    <row r="10" spans="2:8" ht="15.75" customHeight="1" x14ac:dyDescent="0.35">
      <c r="B10" s="4" t="s">
        <v>18</v>
      </c>
      <c r="C10" s="2">
        <f>Table13[[#Totals],[Estimate]]</f>
        <v>664000</v>
      </c>
      <c r="D10">
        <f>D7</f>
        <v>160</v>
      </c>
      <c r="F10">
        <v>0.28714843750000002</v>
      </c>
      <c r="G10" s="2">
        <f>C10*((1+F10)^(D10/1826)-1)</f>
        <v>14850.423520008293</v>
      </c>
      <c r="H10" s="2">
        <f>SUM(G10,C10)</f>
        <v>678850.42352000833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CDE21-68C9-4ABC-89CC-70A0486FEF21}">
  <sheetPr>
    <outlinePr summaryBelow="0" summaryRight="0"/>
  </sheetPr>
  <dimension ref="B2:H10"/>
  <sheetViews>
    <sheetView showGridLines="0" tabSelected="1" workbookViewId="0">
      <selection activeCell="G12" sqref="G12"/>
    </sheetView>
  </sheetViews>
  <sheetFormatPr defaultColWidth="12.59765625" defaultRowHeight="15.75" customHeight="1" x14ac:dyDescent="0.35"/>
  <cols>
    <col min="2" max="2" width="12.796875" bestFit="1" customWidth="1"/>
    <col min="3" max="3" width="12" style="2" bestFit="1" customWidth="1"/>
    <col min="4" max="4" width="10.19921875" customWidth="1"/>
    <col min="5" max="5" width="13.06640625" bestFit="1" customWidth="1"/>
    <col min="8" max="8" width="12.59765625" style="2"/>
  </cols>
  <sheetData>
    <row r="2" spans="2:8" x14ac:dyDescent="0.35">
      <c r="B2" s="1" t="s">
        <v>0</v>
      </c>
      <c r="C2" s="3" t="s">
        <v>1</v>
      </c>
      <c r="D2" s="1" t="s">
        <v>2</v>
      </c>
      <c r="E2" s="1" t="s">
        <v>3</v>
      </c>
      <c r="F2" s="1" t="s">
        <v>14</v>
      </c>
      <c r="G2" s="1" t="s">
        <v>15</v>
      </c>
      <c r="H2" s="3" t="s">
        <v>16</v>
      </c>
    </row>
    <row r="3" spans="2:8" x14ac:dyDescent="0.35">
      <c r="B3" s="1" t="s">
        <v>4</v>
      </c>
      <c r="C3" s="3">
        <v>125000</v>
      </c>
      <c r="D3" s="1">
        <v>30</v>
      </c>
      <c r="E3" s="1" t="s">
        <v>5</v>
      </c>
      <c r="F3">
        <v>0.56914953647722699</v>
      </c>
      <c r="G3" s="5">
        <f>Table134[[#This Row],[Estimate]]*((1+Table134[[#This Row],[Index_Chng]])^(Table134[[#This Row],[Duration]]/3653)-1)</f>
        <v>463.35370290459531</v>
      </c>
      <c r="H3" s="3">
        <f>SUM(Table134[[#This Row],[Increase]],Table134[[#This Row],[Estimate]])</f>
        <v>125463.3537029046</v>
      </c>
    </row>
    <row r="4" spans="2:8" x14ac:dyDescent="0.35">
      <c r="B4" s="1" t="s">
        <v>6</v>
      </c>
      <c r="C4" s="3">
        <v>97500</v>
      </c>
      <c r="D4" s="1">
        <v>60</v>
      </c>
      <c r="E4" s="1" t="s">
        <v>7</v>
      </c>
      <c r="F4">
        <v>0.98845523329129903</v>
      </c>
      <c r="G4" s="5">
        <f>Table134[[#This Row],[Estimate]]*((1+Table134[[#This Row],[Index_Chng]])^(Table134[[#This Row],[Duration]]/3653)-1)</f>
        <v>1106.9884193560824</v>
      </c>
      <c r="H4" s="3">
        <f>SUM(Table134[[#This Row],[Increase]],Table134[[#This Row],[Estimate]])</f>
        <v>98606.988419356087</v>
      </c>
    </row>
    <row r="5" spans="2:8" x14ac:dyDescent="0.35">
      <c r="B5" s="1" t="s">
        <v>8</v>
      </c>
      <c r="C5" s="3">
        <v>215000</v>
      </c>
      <c r="D5" s="1">
        <v>90</v>
      </c>
      <c r="E5" s="1" t="s">
        <v>9</v>
      </c>
      <c r="F5">
        <v>0.36312556869881701</v>
      </c>
      <c r="G5" s="5">
        <f>Table134[[#This Row],[Estimate]]*((1+Table134[[#This Row],[Index_Chng]])^(Table134[[#This Row],[Duration]]/3653)-1)</f>
        <v>1647.1889173528787</v>
      </c>
      <c r="H5" s="3">
        <f>SUM(Table134[[#This Row],[Increase]],Table134[[#This Row],[Estimate]])</f>
        <v>216647.18891735288</v>
      </c>
    </row>
    <row r="6" spans="2:8" x14ac:dyDescent="0.35">
      <c r="B6" s="1" t="s">
        <v>10</v>
      </c>
      <c r="C6" s="3">
        <v>192000</v>
      </c>
      <c r="D6" s="1">
        <v>150</v>
      </c>
      <c r="E6" s="1" t="s">
        <v>11</v>
      </c>
      <c r="F6">
        <v>0.662190476190476</v>
      </c>
      <c r="G6" s="5">
        <f>Table134[[#This Row],[Estimate]]*((1+Table134[[#This Row],[Index_Chng]])^(Table134[[#This Row],[Duration]]/3653)-1)</f>
        <v>4048.1977977660081</v>
      </c>
      <c r="H6" s="3">
        <f>SUM(Table134[[#This Row],[Increase]],Table134[[#This Row],[Estimate]])</f>
        <v>196048.19779776601</v>
      </c>
    </row>
    <row r="7" spans="2:8" x14ac:dyDescent="0.35">
      <c r="B7" s="1" t="s">
        <v>12</v>
      </c>
      <c r="C7" s="3">
        <v>34500</v>
      </c>
      <c r="D7" s="1">
        <v>160</v>
      </c>
      <c r="E7" s="1" t="s">
        <v>13</v>
      </c>
      <c r="F7">
        <v>0.65793345008756599</v>
      </c>
      <c r="G7" s="5">
        <f>Table134[[#This Row],[Estimate]]*((1+Table134[[#This Row],[Index_Chng]])^(Table134[[#This Row],[Duration]]/3653)-1)</f>
        <v>772.48436541366561</v>
      </c>
      <c r="H7" s="3">
        <f>SUM(Table134[[#This Row],[Increase]],Table134[[#This Row],[Estimate]])</f>
        <v>35272.484365413664</v>
      </c>
    </row>
    <row r="8" spans="2:8" ht="15.75" customHeight="1" x14ac:dyDescent="0.35">
      <c r="B8" s="1" t="s">
        <v>17</v>
      </c>
      <c r="C8" s="5">
        <f>SUBTOTAL(109,Table134[Estimate])</f>
        <v>664000</v>
      </c>
      <c r="D8" s="1"/>
      <c r="E8" s="1"/>
      <c r="F8" s="1"/>
      <c r="G8" s="5">
        <f>SUBTOTAL(109,Table134[Increase])</f>
        <v>8038.2132027932303</v>
      </c>
      <c r="H8" s="5">
        <f>SUBTOTAL(109,Table134[Escalated])</f>
        <v>672038.21320279315</v>
      </c>
    </row>
    <row r="10" spans="2:8" ht="15.75" customHeight="1" x14ac:dyDescent="0.35">
      <c r="B10" s="4" t="s">
        <v>18</v>
      </c>
      <c r="C10" s="2">
        <f>Table134[[#Totals],[Estimate]]</f>
        <v>664000</v>
      </c>
      <c r="D10">
        <f>D7</f>
        <v>160</v>
      </c>
      <c r="F10">
        <v>0.443636363636364</v>
      </c>
      <c r="G10" s="2">
        <f>C10*((1+F10)^(D10/3653)-1)</f>
        <v>10764.569278182027</v>
      </c>
      <c r="H10" s="2">
        <f>SUM(G10,C10)</f>
        <v>674764.569278182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yr</vt:lpstr>
      <vt:lpstr>5 yr</vt:lpstr>
      <vt:lpstr>10 yr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Hopkins</cp:lastModifiedBy>
  <dcterms:modified xsi:type="dcterms:W3CDTF">2026-07-09T05:43:47Z</dcterms:modified>
</cp:coreProperties>
</file>