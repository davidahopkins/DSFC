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c\Home\Documents\GitHub\DSFC\multi_index\"/>
    </mc:Choice>
  </mc:AlternateContent>
  <xr:revisionPtr revIDLastSave="0" documentId="13_ncr:1_{94C81583-4526-492B-82D3-A6C0BEE4BA44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1 yr" sheetId="3" r:id="rId1"/>
    <sheet name="5 yr" sheetId="4" r:id="rId2"/>
    <sheet name="10 y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K4" i="5" s="1"/>
  <c r="J5" i="5"/>
  <c r="J6" i="5"/>
  <c r="J7" i="5"/>
  <c r="J8" i="5"/>
  <c r="H12" i="5" s="1"/>
  <c r="K12" i="5" s="1"/>
  <c r="L12" i="5" s="1"/>
  <c r="C12" i="5"/>
  <c r="F11" i="5"/>
  <c r="F12" i="5" s="1"/>
  <c r="D9" i="5"/>
  <c r="D11" i="5" s="1"/>
  <c r="I11" i="5" s="1"/>
  <c r="L11" i="5" s="1"/>
  <c r="C9" i="5"/>
  <c r="I8" i="5"/>
  <c r="E8" i="5"/>
  <c r="K7" i="5"/>
  <c r="L7" i="5" s="1"/>
  <c r="I7" i="5"/>
  <c r="E7" i="5"/>
  <c r="K6" i="5"/>
  <c r="L6" i="5" s="1"/>
  <c r="I6" i="5"/>
  <c r="E6" i="5"/>
  <c r="K5" i="5"/>
  <c r="I5" i="5"/>
  <c r="L5" i="5" s="1"/>
  <c r="E5" i="5"/>
  <c r="I4" i="5"/>
  <c r="E4" i="5"/>
  <c r="K12" i="4"/>
  <c r="I11" i="4"/>
  <c r="K12" i="3"/>
  <c r="I11" i="3"/>
  <c r="J4" i="4"/>
  <c r="J5" i="4"/>
  <c r="J6" i="4"/>
  <c r="J7" i="4"/>
  <c r="J8" i="4"/>
  <c r="F11" i="4"/>
  <c r="F12" i="4" s="1"/>
  <c r="D9" i="4"/>
  <c r="D11" i="4" s="1"/>
  <c r="C9" i="4"/>
  <c r="C12" i="4" s="1"/>
  <c r="H12" i="4"/>
  <c r="I8" i="4"/>
  <c r="E8" i="4"/>
  <c r="K7" i="4"/>
  <c r="L7" i="4" s="1"/>
  <c r="I7" i="4"/>
  <c r="E7" i="4"/>
  <c r="K6" i="4"/>
  <c r="I6" i="4"/>
  <c r="E6" i="4"/>
  <c r="K5" i="4"/>
  <c r="I5" i="4"/>
  <c r="L5" i="4" s="1"/>
  <c r="E5" i="4"/>
  <c r="K4" i="4"/>
  <c r="I4" i="4"/>
  <c r="E4" i="4"/>
  <c r="K9" i="3"/>
  <c r="J4" i="3"/>
  <c r="J5" i="3"/>
  <c r="J6" i="3"/>
  <c r="J7" i="3"/>
  <c r="K7" i="3" s="1"/>
  <c r="J8" i="3"/>
  <c r="K4" i="3"/>
  <c r="K5" i="3"/>
  <c r="K6" i="3"/>
  <c r="K8" i="3"/>
  <c r="I4" i="3"/>
  <c r="I5" i="3"/>
  <c r="I6" i="3"/>
  <c r="I7" i="3"/>
  <c r="I8" i="3"/>
  <c r="H12" i="3"/>
  <c r="E4" i="3"/>
  <c r="E5" i="3"/>
  <c r="E6" i="3"/>
  <c r="E7" i="3"/>
  <c r="E8" i="3"/>
  <c r="C9" i="3"/>
  <c r="C12" i="3" s="1"/>
  <c r="D9" i="3"/>
  <c r="D11" i="3" s="1"/>
  <c r="F11" i="3"/>
  <c r="F12" i="3" s="1"/>
  <c r="L14" i="5" l="1"/>
  <c r="I9" i="5"/>
  <c r="E9" i="5"/>
  <c r="K8" i="5"/>
  <c r="K9" i="5" s="1"/>
  <c r="L4" i="5"/>
  <c r="L11" i="4"/>
  <c r="I9" i="4"/>
  <c r="E9" i="4"/>
  <c r="L6" i="4"/>
  <c r="L12" i="4"/>
  <c r="L14" i="4" s="1"/>
  <c r="L4" i="4"/>
  <c r="K8" i="4"/>
  <c r="L8" i="4" s="1"/>
  <c r="L12" i="3"/>
  <c r="E9" i="3"/>
  <c r="L11" i="3"/>
  <c r="L14" i="3" s="1"/>
  <c r="L8" i="5" l="1"/>
  <c r="L9" i="5" s="1"/>
  <c r="L15" i="5" s="1"/>
  <c r="K9" i="4"/>
  <c r="L9" i="4"/>
  <c r="L15" i="4" s="1"/>
  <c r="I9" i="3"/>
  <c r="L4" i="3" l="1"/>
  <c r="L5" i="3"/>
  <c r="L6" i="3"/>
  <c r="L7" i="3"/>
  <c r="L8" i="3"/>
  <c r="L9" i="3" l="1"/>
  <c r="L15" i="3" s="1"/>
</calcChain>
</file>

<file path=xl/sharedStrings.xml><?xml version="1.0" encoding="utf-8"?>
<sst xmlns="http://schemas.openxmlformats.org/spreadsheetml/2006/main" count="78" uniqueCount="24">
  <si>
    <t>Division</t>
  </si>
  <si>
    <t>Duration</t>
  </si>
  <si>
    <t>PPI_Index</t>
  </si>
  <si>
    <t>Concrete</t>
  </si>
  <si>
    <t>WPS1333</t>
  </si>
  <si>
    <t>Steel</t>
  </si>
  <si>
    <t>WPU1017</t>
  </si>
  <si>
    <t>Wood Framing</t>
  </si>
  <si>
    <t>WPU08</t>
  </si>
  <si>
    <t>Drywall</t>
  </si>
  <si>
    <t>WPU13710102</t>
  </si>
  <si>
    <t>Paint</t>
  </si>
  <si>
    <t>WPU0622</t>
  </si>
  <si>
    <t>Escalated</t>
  </si>
  <si>
    <t>Total</t>
  </si>
  <si>
    <t>PPI</t>
  </si>
  <si>
    <t>Labor</t>
  </si>
  <si>
    <t>Materials</t>
  </si>
  <si>
    <t>Mat_Index_Chng</t>
  </si>
  <si>
    <t>Mat_Inc</t>
  </si>
  <si>
    <t>Lab_Index_Chng</t>
  </si>
  <si>
    <t>Lab_Inc</t>
  </si>
  <si>
    <t>LAB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</si>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</sst>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4" fontId="0" fillId="0" borderId="0" xfId="1" applyFont="1"/>
    <xf numFmtId="0" fontId="2" fillId="0" borderId="0" xfId="0" applyFont="1"/>
    <xf numFmtId="44" fontId="1" fillId="0" borderId="0" xfId="0" applyNumberFormat="1" applyFont="1"/>
    <xf numFmtId="44" fontId="0" fillId="0" borderId="0" xfId="0" applyNumberFormat="1"/>
    <xf numFmtId="44" fontId="1" fillId="0" borderId="0" xfId="1" applyFont="1"/>
    <xf numFmtId="44" fontId="2" fillId="0" borderId="0" xfId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29C0B8-D321-4AFD-A583-4DFAB483E314}" name="Table134" displayName="Table134" ref="B3:L9" totalsRowCount="1" headerRowDxfId="71" dataDxfId="70">
  <autoFilter ref="B3:L8" xr:uid="{84634371-9BBF-4348-8C12-6470206AB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CB509FB-0A61-4DFF-88A2-0928134831A4}" name="Division" totalsRowLabel="Total" dataDxfId="69" totalsRowDxfId="68"/>
    <tableColumn id="8" xr3:uid="{B90B55CB-0AFD-4686-9302-C43D6DF4CE41}" name="Labor" totalsRowFunction="sum" dataDxfId="67" totalsRowDxfId="66" dataCellStyle="Currency"/>
    <tableColumn id="2" xr3:uid="{A25A2163-1A44-47BB-9F6C-84AD2A735605}" name="Materials" totalsRowFunction="sum" dataDxfId="65" totalsRowDxfId="64" dataCellStyle="Currency"/>
    <tableColumn id="9" xr3:uid="{89CE31CC-0D30-4A0A-B77F-27CAA514A9A8}" name="Total" totalsRowFunction="sum" dataDxfId="63" totalsRowDxfId="62" dataCellStyle="Currency">
      <calculatedColumnFormula>SUM(Table134[[#This Row],[Labor]:[Materials]])</calculatedColumnFormula>
    </tableColumn>
    <tableColumn id="3" xr3:uid="{E824E2C2-90B8-4778-9DFA-3EFE3F3AEE54}" name="Duration" dataDxfId="61" totalsRowDxfId="60"/>
    <tableColumn id="4" xr3:uid="{13ADFD35-97A7-428D-8B8F-5815E339A031}" name="PPI_Index" dataDxfId="59" totalsRowDxfId="58"/>
    <tableColumn id="5" xr3:uid="{FA427198-5B8F-4304-8AF0-48FA5DC79016}" name="Mat_Index_Chng" dataDxfId="57" totalsRowDxfId="56"/>
    <tableColumn id="6" xr3:uid="{621D048F-E02E-4844-B3AD-C476AA3E26DF}" name="Mat_Inc" totalsRowFunction="sum" dataDxfId="55" totalsRowDxfId="54">
      <calculatedColumnFormula>Table134[[#This Row],[Materials]]*((1+Table134[[#This Row],[Mat_Index_Chng]])^(Table134[[#This Row],[Duration]]/$F$1)-1)</calculatedColumnFormula>
    </tableColumn>
    <tableColumn id="10" xr3:uid="{7358118F-BDAB-4BD0-81D3-05A40BAD4B00}" name="Lab_Index_Chng" dataDxfId="53" totalsRowDxfId="52">
      <calculatedColumnFormula>0.0373688251855644</calculatedColumnFormula>
    </tableColumn>
    <tableColumn id="11" xr3:uid="{57C12779-A238-4876-911C-7FA694BDE3FD}" name="Lab_Inc" totalsRowFunction="sum" dataDxfId="51" totalsRowDxfId="50">
      <calculatedColumnFormula>Table134[[#This Row],[Labor]]*((1+Table134[[#This Row],[Lab_Index_Chng]])^(Table134[[#This Row],[Duration]]/$F$1)-1)</calculatedColumnFormula>
    </tableColumn>
    <tableColumn id="7" xr3:uid="{452E0C0D-4F77-4430-9CE5-23968F7FC924}" name="Escalated" totalsRowFunction="sum" dataDxfId="49" totalsRowDxfId="48" dataCellStyle="Currency">
      <calculatedColumnFormula>SUM(Table134[[#This Row],[Labor]],Table134[[#This Row],[Materials]],Table134[[#This Row],[Mat_Inc]],Table134[[#This Row],[Lab_Inc]])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27F10-1362-40B1-99FB-7A23AE8E7A6D}" name="Table1342" displayName="Table1342" ref="B3:L9" totalsRowCount="1" headerRowDxfId="47" dataDxfId="46">
  <autoFilter ref="B3:L8" xr:uid="{84634371-9BBF-4348-8C12-6470206AB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D9369D3-EA65-4E15-AB31-ED1C59C59686}" name="Division" totalsRowLabel="Total" dataDxfId="45" totalsRowDxfId="44"/>
    <tableColumn id="8" xr3:uid="{EB4211A5-38B1-46AD-BEF9-8EAD09BDACF1}" name="Labor" totalsRowFunction="sum" dataDxfId="43" totalsRowDxfId="42" dataCellStyle="Currency"/>
    <tableColumn id="2" xr3:uid="{C45A2B58-7BFE-4FC3-923B-105FDC460674}" name="Materials" totalsRowFunction="sum" dataDxfId="41" totalsRowDxfId="40" dataCellStyle="Currency"/>
    <tableColumn id="9" xr3:uid="{E7AF7911-ECA9-47FE-8BA4-C5D111F21678}" name="Total" totalsRowFunction="sum" dataDxfId="39" totalsRowDxfId="38" dataCellStyle="Currency">
      <calculatedColumnFormula>SUM(Table1342[[#This Row],[Labor]:[Materials]])</calculatedColumnFormula>
    </tableColumn>
    <tableColumn id="3" xr3:uid="{78246E24-747E-46A2-901F-BF87F71C1A5A}" name="Duration" dataDxfId="37" totalsRowDxfId="36"/>
    <tableColumn id="4" xr3:uid="{245564A3-13A4-496A-A0FF-B16D2CAB0463}" name="PPI_Index" dataDxfId="35" totalsRowDxfId="34"/>
    <tableColumn id="5" xr3:uid="{458F9960-493C-47AB-B0FC-6B8D9CABF936}" name="Mat_Index_Chng" dataDxfId="33" totalsRowDxfId="32"/>
    <tableColumn id="6" xr3:uid="{6B213DF2-1D38-4968-9B5F-B9E482E08759}" name="Mat_Inc" totalsRowFunction="sum" dataDxfId="31" totalsRowDxfId="30">
      <calculatedColumnFormula>Table1342[[#This Row],[Materials]]*((1+Table1342[[#This Row],[Mat_Index_Chng]])^(Table1342[[#This Row],[Duration]]/$F$1)-1)</calculatedColumnFormula>
    </tableColumn>
    <tableColumn id="10" xr3:uid="{78080B15-5ED1-437D-BB1C-84906229A95B}" name="Lab_Index_Chng" dataDxfId="29" totalsRowDxfId="28">
      <calculatedColumnFormula>0.260653188180404</calculatedColumnFormula>
    </tableColumn>
    <tableColumn id="11" xr3:uid="{4A849DC8-6EE0-483B-B245-CF98F68747E0}" name="Lab_Inc" totalsRowFunction="sum" dataDxfId="27" totalsRowDxfId="26">
      <calculatedColumnFormula>Table1342[[#This Row],[Labor]]*((1+Table1342[[#This Row],[Lab_Index_Chng]])^(Table1342[[#This Row],[Duration]]/$F$1)-1)</calculatedColumnFormula>
    </tableColumn>
    <tableColumn id="7" xr3:uid="{91476317-BBB6-4FDC-92C0-9875995A1FD3}" name="Escalated" totalsRowFunction="sum" dataDxfId="25" totalsRowDxfId="24" dataCellStyle="Currency">
      <calculatedColumnFormula>SUM(Table1342[[#This Row],[Labor]],Table1342[[#This Row],[Materials]],Table1342[[#This Row],[Mat_Inc]],Table1342[[#This Row],[Lab_Inc]])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D9552-318A-4F14-A502-896EF4C5EA66}" name="Table13423" displayName="Table13423" ref="B3:L9" totalsRowCount="1" headerRowDxfId="23" dataDxfId="22">
  <autoFilter ref="B3:L8" xr:uid="{84634371-9BBF-4348-8C12-6470206AB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4C1B3A5-CCE4-4FE1-AE0F-02F07A5EE734}" name="Division" totalsRowLabel="Total" dataDxfId="21" totalsRowDxfId="20"/>
    <tableColumn id="8" xr3:uid="{79585622-760A-4D22-A31E-B2236C990B71}" name="Labor" totalsRowFunction="sum" dataDxfId="19" totalsRowDxfId="18" dataCellStyle="Currency"/>
    <tableColumn id="2" xr3:uid="{0F8B79EC-94DE-40F3-ACA4-2A11764279B1}" name="Materials" totalsRowFunction="sum" dataDxfId="17" totalsRowDxfId="16" dataCellStyle="Currency"/>
    <tableColumn id="9" xr3:uid="{ECCE32CC-8A0F-4ECD-B670-B15A86C0E880}" name="Total" totalsRowFunction="sum" dataDxfId="15" totalsRowDxfId="14" dataCellStyle="Currency">
      <calculatedColumnFormula>SUM(Table13423[[#This Row],[Labor]:[Materials]])</calculatedColumnFormula>
    </tableColumn>
    <tableColumn id="3" xr3:uid="{8CF1D27E-4122-4117-87BD-7A5A2E225A56}" name="Duration" dataDxfId="13" totalsRowDxfId="12"/>
    <tableColumn id="4" xr3:uid="{166F56B5-ECDE-4AEB-ABA1-644F9A5479B4}" name="PPI_Index" dataDxfId="11" totalsRowDxfId="10"/>
    <tableColumn id="5" xr3:uid="{BC8A353D-5D00-4062-ACAE-B96044DB9399}" name="Mat_Index_Chng" dataDxfId="9" totalsRowDxfId="8"/>
    <tableColumn id="6" xr3:uid="{F6DD9706-27B2-4CC4-855F-BD9DA9DDA78A}" name="Mat_Inc" totalsRowFunction="sum" dataDxfId="7" totalsRowDxfId="6">
      <calculatedColumnFormula>Table13423[[#This Row],[Materials]]*((1+Table13423[[#This Row],[Mat_Index_Chng]])^(Table13423[[#This Row],[Duration]]/$F$1)-1)</calculatedColumnFormula>
    </tableColumn>
    <tableColumn id="10" xr3:uid="{AF8B2194-95CB-4046-88B4-F1466B39AEF8}" name="Lab_Index_Chng" dataDxfId="5" totalsRowDxfId="4">
      <calculatedColumnFormula>0.46529284164859</calculatedColumnFormula>
    </tableColumn>
    <tableColumn id="11" xr3:uid="{6D3A8FF6-630A-4FBA-8F46-306D6F8161C7}" name="Lab_Inc" totalsRowFunction="sum" dataDxfId="3" totalsRowDxfId="2">
      <calculatedColumnFormula>Table13423[[#This Row],[Labor]]*((1+Table13423[[#This Row],[Lab_Index_Chng]])^(Table13423[[#This Row],[Duration]]/$F$1)-1)</calculatedColumnFormula>
    </tableColumn>
    <tableColumn id="7" xr3:uid="{A26F1002-B6A3-4FB5-BC55-2B8550DC4E4F}" name="Escalated" totalsRowFunction="sum" dataDxfId="1" totalsRowDxfId="0" dataCellStyle="Currency">
      <calculatedColumnFormula>SUM(Table13423[[#This Row],[Labor]],Table13423[[#This Row],[Materials]],Table13423[[#This Row],[Mat_Inc]],Table13423[[#This Row],[Lab_Inc]])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DE21-68C9-4ABC-89CC-70A0486FEF21}">
  <sheetPr>
    <outlinePr summaryBelow="0" summaryRight="0"/>
  </sheetPr>
  <dimension ref="B1:L15"/>
  <sheetViews>
    <sheetView showGridLines="0" tabSelected="1" workbookViewId="0">
      <selection activeCell="N15" sqref="N15"/>
    </sheetView>
  </sheetViews>
  <sheetFormatPr defaultColWidth="12.59765625" defaultRowHeight="15.75" customHeight="1" x14ac:dyDescent="0.35"/>
  <cols>
    <col min="2" max="2" width="12.796875" bestFit="1" customWidth="1"/>
    <col min="3" max="3" width="12" style="5" bestFit="1" customWidth="1"/>
    <col min="4" max="4" width="12" style="2" bestFit="1" customWidth="1"/>
    <col min="5" max="5" width="13.59765625" style="2" bestFit="1" customWidth="1"/>
    <col min="6" max="6" width="8.33203125" bestFit="1" customWidth="1"/>
    <col min="7" max="7" width="13.06640625" bestFit="1" customWidth="1"/>
    <col min="8" max="8" width="15.33203125" bestFit="1" customWidth="1"/>
    <col min="9" max="9" width="10" style="5" bestFit="1" customWidth="1"/>
    <col min="10" max="10" width="15.59765625" bestFit="1" customWidth="1"/>
    <col min="11" max="11" width="11" style="5" bestFit="1" customWidth="1"/>
    <col min="12" max="12" width="13.59765625" style="2" bestFit="1" customWidth="1"/>
  </cols>
  <sheetData>
    <row r="1" spans="2:12" ht="15.75" customHeight="1" x14ac:dyDescent="0.35">
      <c r="E1" s="7" t="s">
        <v>23</v>
      </c>
      <c r="F1">
        <v>365</v>
      </c>
    </row>
    <row r="3" spans="2:12" ht="12.75" x14ac:dyDescent="0.35">
      <c r="B3" s="1" t="s">
        <v>0</v>
      </c>
      <c r="C3" s="4" t="s">
        <v>16</v>
      </c>
      <c r="D3" s="6" t="s">
        <v>17</v>
      </c>
      <c r="E3" s="6" t="s">
        <v>14</v>
      </c>
      <c r="F3" s="1" t="s">
        <v>1</v>
      </c>
      <c r="G3" s="1" t="s">
        <v>2</v>
      </c>
      <c r="H3" s="1" t="s">
        <v>18</v>
      </c>
      <c r="I3" s="4" t="s">
        <v>19</v>
      </c>
      <c r="J3" s="1" t="s">
        <v>20</v>
      </c>
      <c r="K3" s="4" t="s">
        <v>21</v>
      </c>
      <c r="L3" s="6" t="s">
        <v>13</v>
      </c>
    </row>
    <row r="4" spans="2:12" ht="12.75" x14ac:dyDescent="0.35">
      <c r="B4" s="1" t="s">
        <v>3</v>
      </c>
      <c r="C4" s="6">
        <v>125000</v>
      </c>
      <c r="D4" s="6">
        <v>87500</v>
      </c>
      <c r="E4" s="6">
        <f>SUM(Table134[[#This Row],[Labor]:[Materials]])</f>
        <v>212500</v>
      </c>
      <c r="F4" s="1">
        <v>30</v>
      </c>
      <c r="G4" s="1" t="s">
        <v>4</v>
      </c>
      <c r="H4">
        <v>-2.5936873245729799E-4</v>
      </c>
      <c r="I4" s="4">
        <f>Table134[[#This Row],[Materials]]*((1+Table134[[#This Row],[Mat_Index_Chng]])^(Table134[[#This Row],[Duration]]/$F$1)-1)</f>
        <v>-1.8655451334961826</v>
      </c>
      <c r="J4">
        <f t="shared" ref="J4:J8" si="0">0.0373688251855644</f>
        <v>3.7368825185564399E-2</v>
      </c>
      <c r="K4" s="4">
        <f>Table134[[#This Row],[Labor]]*((1+Table134[[#This Row],[Lab_Index_Chng]])^(Table134[[#This Row],[Duration]]/$F$1)-1)</f>
        <v>377.49556082256055</v>
      </c>
      <c r="L4" s="6">
        <f>SUM(Table134[[#This Row],[Labor]],Table134[[#This Row],[Materials]],Table134[[#This Row],[Mat_Inc]],Table134[[#This Row],[Lab_Inc]])</f>
        <v>212875.63001568906</v>
      </c>
    </row>
    <row r="5" spans="2:12" ht="12.75" x14ac:dyDescent="0.35">
      <c r="B5" s="1" t="s">
        <v>5</v>
      </c>
      <c r="C5" s="6">
        <v>97500</v>
      </c>
      <c r="D5" s="6">
        <v>68250</v>
      </c>
      <c r="E5" s="6">
        <f>SUM(Table134[[#This Row],[Labor]:[Materials]])</f>
        <v>165750</v>
      </c>
      <c r="F5" s="1">
        <v>60</v>
      </c>
      <c r="G5" s="1" t="s">
        <v>6</v>
      </c>
      <c r="H5">
        <v>0.205709523135918</v>
      </c>
      <c r="I5" s="4">
        <f>Table134[[#This Row],[Materials]]*((1+Table134[[#This Row],[Mat_Index_Chng]])^(Table134[[#This Row],[Duration]]/$F$1)-1)</f>
        <v>2131.3541753224818</v>
      </c>
      <c r="J5" s="1">
        <f t="shared" si="0"/>
        <v>3.7368825185564399E-2</v>
      </c>
      <c r="K5" s="4">
        <f>Table134[[#This Row],[Labor]]*((1+Table134[[#This Row],[Lab_Index_Chng]])^(Table134[[#This Row],[Duration]]/$F$1)-1)</f>
        <v>589.78229296945847</v>
      </c>
      <c r="L5" s="6">
        <f>SUM(Table134[[#This Row],[Labor]],Table134[[#This Row],[Materials]],Table134[[#This Row],[Mat_Inc]],Table134[[#This Row],[Lab_Inc]])</f>
        <v>168471.13646829195</v>
      </c>
    </row>
    <row r="6" spans="2:12" ht="12.75" x14ac:dyDescent="0.35">
      <c r="B6" s="1" t="s">
        <v>7</v>
      </c>
      <c r="C6" s="6">
        <v>215000</v>
      </c>
      <c r="D6" s="6">
        <v>105350</v>
      </c>
      <c r="E6" s="6">
        <f>SUM(Table134[[#This Row],[Labor]:[Materials]])</f>
        <v>320350</v>
      </c>
      <c r="F6" s="1">
        <v>90</v>
      </c>
      <c r="G6" s="1" t="s">
        <v>8</v>
      </c>
      <c r="H6">
        <v>1.8926664192156801E-3</v>
      </c>
      <c r="I6" s="4">
        <f>Table134[[#This Row],[Materials]]*((1+Table134[[#This Row],[Mat_Index_Chng]])^(Table134[[#This Row],[Duration]]/$F$1)-1)</f>
        <v>49.130235463076247</v>
      </c>
      <c r="J6" s="1">
        <f t="shared" si="0"/>
        <v>3.7368825185564399E-2</v>
      </c>
      <c r="K6" s="4">
        <f>Table134[[#This Row],[Labor]]*((1+Table134[[#This Row],[Lab_Index_Chng]])^(Table134[[#This Row],[Duration]]/$F$1)-1)</f>
        <v>1953.7655351588301</v>
      </c>
      <c r="L6" s="6">
        <f>SUM(Table134[[#This Row],[Labor]],Table134[[#This Row],[Materials]],Table134[[#This Row],[Mat_Inc]],Table134[[#This Row],[Lab_Inc]])</f>
        <v>322352.89577062189</v>
      </c>
    </row>
    <row r="7" spans="2:12" ht="12.75" x14ac:dyDescent="0.35">
      <c r="B7" s="1" t="s">
        <v>9</v>
      </c>
      <c r="C7" s="6">
        <v>192000</v>
      </c>
      <c r="D7" s="6">
        <v>92160</v>
      </c>
      <c r="E7" s="6">
        <f>SUM(Table134[[#This Row],[Labor]:[Materials]])</f>
        <v>284160</v>
      </c>
      <c r="F7" s="1">
        <v>150</v>
      </c>
      <c r="G7" s="1" t="s">
        <v>10</v>
      </c>
      <c r="H7">
        <v>-1.9524548647987399E-3</v>
      </c>
      <c r="I7" s="4">
        <f>Table134[[#This Row],[Materials]]*((1+Table134[[#This Row],[Mat_Index_Chng]])^(Table134[[#This Row],[Duration]]/$F$1)-1)</f>
        <v>-73.989788557231577</v>
      </c>
      <c r="J7" s="1">
        <f t="shared" si="0"/>
        <v>3.7368825185564399E-2</v>
      </c>
      <c r="K7" s="4">
        <f>Table134[[#This Row],[Labor]]*((1+Table134[[#This Row],[Lab_Index_Chng]])^(Table134[[#This Row],[Duration]]/$F$1)-1)</f>
        <v>2916.7296250382578</v>
      </c>
      <c r="L7" s="6">
        <f>SUM(Table134[[#This Row],[Labor]],Table134[[#This Row],[Materials]],Table134[[#This Row],[Mat_Inc]],Table134[[#This Row],[Lab_Inc]])</f>
        <v>287002.73983648105</v>
      </c>
    </row>
    <row r="8" spans="2:12" ht="12.75" x14ac:dyDescent="0.35">
      <c r="B8" s="1" t="s">
        <v>11</v>
      </c>
      <c r="C8" s="6">
        <v>34500</v>
      </c>
      <c r="D8" s="6">
        <v>14835</v>
      </c>
      <c r="E8" s="6">
        <f>SUM(Table134[[#This Row],[Labor]:[Materials]])</f>
        <v>49335</v>
      </c>
      <c r="F8" s="1">
        <v>160</v>
      </c>
      <c r="G8" s="1" t="s">
        <v>12</v>
      </c>
      <c r="H8">
        <v>0.10466988727858299</v>
      </c>
      <c r="I8" s="4">
        <f>Table134[[#This Row],[Materials]]*((1+Table134[[#This Row],[Mat_Index_Chng]])^(Table134[[#This Row],[Duration]]/$F$1)-1)</f>
        <v>661.68446769158845</v>
      </c>
      <c r="J8" s="1">
        <f t="shared" si="0"/>
        <v>3.7368825185564399E-2</v>
      </c>
      <c r="K8" s="4">
        <f>Table134[[#This Row],[Labor]]*((1+Table134[[#This Row],[Lab_Index_Chng]])^(Table134[[#This Row],[Duration]]/$F$1)-1)</f>
        <v>559.32160136137963</v>
      </c>
      <c r="L8" s="6">
        <f>SUM(Table134[[#This Row],[Labor]],Table134[[#This Row],[Materials]],Table134[[#This Row],[Mat_Inc]],Table134[[#This Row],[Lab_Inc]])</f>
        <v>50556.006069052964</v>
      </c>
    </row>
    <row r="9" spans="2:12" ht="15.75" customHeight="1" x14ac:dyDescent="0.35">
      <c r="B9" s="1" t="s">
        <v>14</v>
      </c>
      <c r="C9" s="4">
        <f>SUBTOTAL(109,Table134[Labor])</f>
        <v>664000</v>
      </c>
      <c r="D9" s="4">
        <f>SUBTOTAL(109,Table134[Materials])</f>
        <v>368095</v>
      </c>
      <c r="E9" s="4">
        <f>SUBTOTAL(109,Table134[Total])</f>
        <v>1032095</v>
      </c>
      <c r="F9" s="1"/>
      <c r="G9" s="1"/>
      <c r="H9" s="1"/>
      <c r="I9" s="4">
        <f>SUBTOTAL(109,Table134[Mat_Inc])</f>
        <v>2766.3135447864183</v>
      </c>
      <c r="J9" s="4"/>
      <c r="K9" s="4">
        <f>SUBTOTAL(109,Table134[Lab_Inc])</f>
        <v>6397.0946153504865</v>
      </c>
      <c r="L9" s="4">
        <f>SUBTOTAL(109,Table134[Escalated])</f>
        <v>1041258.4081601369</v>
      </c>
    </row>
    <row r="11" spans="2:12" ht="15.75" customHeight="1" x14ac:dyDescent="0.35">
      <c r="B11" s="3" t="s">
        <v>15</v>
      </c>
      <c r="C11" s="8"/>
      <c r="D11" s="2">
        <f>Table134[[#Totals],[Materials]]</f>
        <v>368095</v>
      </c>
      <c r="F11">
        <f>F8</f>
        <v>160</v>
      </c>
      <c r="H11">
        <v>2.4277276966117499E-2</v>
      </c>
      <c r="I11" s="2">
        <f>D11*((1+H11)^(F11/F1)-1)</f>
        <v>3890.9273791802066</v>
      </c>
      <c r="J11" s="2"/>
      <c r="K11" s="2"/>
      <c r="L11" s="2">
        <f>SUM(I11,D11)</f>
        <v>371985.92737918021</v>
      </c>
    </row>
    <row r="12" spans="2:12" ht="15.75" customHeight="1" x14ac:dyDescent="0.35">
      <c r="B12" s="3" t="s">
        <v>22</v>
      </c>
      <c r="C12" s="5">
        <f>Table134[[#Totals],[Labor]]</f>
        <v>664000</v>
      </c>
      <c r="F12">
        <f>F11</f>
        <v>160</v>
      </c>
      <c r="H12">
        <f>J8</f>
        <v>3.7368825185564399E-2</v>
      </c>
      <c r="J12" s="2"/>
      <c r="K12" s="2">
        <f>C12*((1+H12)^(F12/F1)-1)</f>
        <v>10764.914298665393</v>
      </c>
      <c r="L12" s="2">
        <f>SUM(K12,C12)</f>
        <v>674764.91429866536</v>
      </c>
    </row>
    <row r="14" spans="2:12" ht="15.75" customHeight="1" x14ac:dyDescent="0.35">
      <c r="B14" s="3" t="s">
        <v>14</v>
      </c>
      <c r="L14" s="2">
        <f>SUM(L11:L12)</f>
        <v>1046750.8416778456</v>
      </c>
    </row>
    <row r="15" spans="2:12" ht="15.75" customHeight="1" x14ac:dyDescent="0.35">
      <c r="L15" s="2">
        <f>L14-Table134[[#Totals],[Escalated]]</f>
        <v>5492.4335177086759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17FC-4ADA-45CB-8BC6-CC6956B6359A}">
  <sheetPr>
    <outlinePr summaryBelow="0" summaryRight="0"/>
  </sheetPr>
  <dimension ref="B1:L15"/>
  <sheetViews>
    <sheetView showGridLines="0" workbookViewId="0">
      <selection activeCell="N15" sqref="N15"/>
    </sheetView>
  </sheetViews>
  <sheetFormatPr defaultColWidth="12.59765625" defaultRowHeight="15.75" customHeight="1" x14ac:dyDescent="0.35"/>
  <cols>
    <col min="2" max="2" width="12.796875" bestFit="1" customWidth="1"/>
    <col min="3" max="3" width="12" style="5" bestFit="1" customWidth="1"/>
    <col min="4" max="4" width="12" style="2" bestFit="1" customWidth="1"/>
    <col min="5" max="5" width="13.59765625" style="2" bestFit="1" customWidth="1"/>
    <col min="6" max="6" width="8.33203125" bestFit="1" customWidth="1"/>
    <col min="7" max="7" width="13.06640625" bestFit="1" customWidth="1"/>
    <col min="8" max="8" width="15.33203125" bestFit="1" customWidth="1"/>
    <col min="9" max="9" width="11" style="5" bestFit="1" customWidth="1"/>
    <col min="10" max="10" width="15.59765625" bestFit="1" customWidth="1"/>
    <col min="11" max="11" width="11" style="5" bestFit="1" customWidth="1"/>
    <col min="12" max="12" width="13.59765625" style="2" bestFit="1" customWidth="1"/>
  </cols>
  <sheetData>
    <row r="1" spans="2:12" ht="15.75" customHeight="1" x14ac:dyDescent="0.35">
      <c r="E1" s="7" t="s">
        <v>23</v>
      </c>
      <c r="F1">
        <v>1826</v>
      </c>
    </row>
    <row r="3" spans="2:12" ht="12.75" x14ac:dyDescent="0.35">
      <c r="B3" s="1" t="s">
        <v>0</v>
      </c>
      <c r="C3" s="4" t="s">
        <v>16</v>
      </c>
      <c r="D3" s="6" t="s">
        <v>17</v>
      </c>
      <c r="E3" s="6" t="s">
        <v>14</v>
      </c>
      <c r="F3" s="1" t="s">
        <v>1</v>
      </c>
      <c r="G3" s="1" t="s">
        <v>2</v>
      </c>
      <c r="H3" s="1" t="s">
        <v>18</v>
      </c>
      <c r="I3" s="4" t="s">
        <v>19</v>
      </c>
      <c r="J3" s="1" t="s">
        <v>20</v>
      </c>
      <c r="K3" s="4" t="s">
        <v>21</v>
      </c>
      <c r="L3" s="6" t="s">
        <v>13</v>
      </c>
    </row>
    <row r="4" spans="2:12" ht="12.75" x14ac:dyDescent="0.35">
      <c r="B4" s="1" t="s">
        <v>3</v>
      </c>
      <c r="C4" s="6">
        <v>125000</v>
      </c>
      <c r="D4" s="6">
        <v>87500</v>
      </c>
      <c r="E4" s="6">
        <f>SUM(Table1342[[#This Row],[Labor]:[Materials]])</f>
        <v>212500</v>
      </c>
      <c r="F4" s="1">
        <v>30</v>
      </c>
      <c r="G4" s="1" t="s">
        <v>4</v>
      </c>
      <c r="H4">
        <v>0.36120979020978999</v>
      </c>
      <c r="I4" s="4">
        <f>Table1342[[#This Row],[Materials]]*((1+Table1342[[#This Row],[Mat_Index_Chng]])^(Table1342[[#This Row],[Duration]]/$F$1)-1)</f>
        <v>444.43341219662369</v>
      </c>
      <c r="J4">
        <f t="shared" ref="J4:J8" si="0">0.260653188180404</f>
        <v>0.26065318818040401</v>
      </c>
      <c r="K4" s="4">
        <f>Table1342[[#This Row],[Labor]]*((1+Table1342[[#This Row],[Lab_Index_Chng]])^(Table1342[[#This Row],[Duration]]/$F$1)-1)</f>
        <v>476.59765976570958</v>
      </c>
      <c r="L4" s="6">
        <f>SUM(Table1342[[#This Row],[Labor]],Table1342[[#This Row],[Materials]],Table1342[[#This Row],[Mat_Inc]],Table1342[[#This Row],[Lab_Inc]])</f>
        <v>213421.03107196232</v>
      </c>
    </row>
    <row r="5" spans="2:12" ht="12.75" x14ac:dyDescent="0.35">
      <c r="B5" s="1" t="s">
        <v>5</v>
      </c>
      <c r="C5" s="6">
        <v>97500</v>
      </c>
      <c r="D5" s="6">
        <v>68250</v>
      </c>
      <c r="E5" s="6">
        <f>SUM(Table1342[[#This Row],[Labor]:[Materials]])</f>
        <v>165750</v>
      </c>
      <c r="F5" s="1">
        <v>60</v>
      </c>
      <c r="G5" s="1" t="s">
        <v>6</v>
      </c>
      <c r="H5">
        <v>0.51619711538461599</v>
      </c>
      <c r="I5" s="4">
        <f>Table1342[[#This Row],[Materials]]*((1+Table1342[[#This Row],[Mat_Index_Chng]])^(Table1342[[#This Row],[Duration]]/$F$1)-1)</f>
        <v>939.79650283786475</v>
      </c>
      <c r="J5" s="1">
        <f t="shared" si="0"/>
        <v>0.26065318818040401</v>
      </c>
      <c r="K5" s="4">
        <f>Table1342[[#This Row],[Labor]]*((1+Table1342[[#This Row],[Lab_Index_Chng]])^(Table1342[[#This Row],[Duration]]/$F$1)-1)</f>
        <v>744.90973608931199</v>
      </c>
      <c r="L5" s="6">
        <f>SUM(Table1342[[#This Row],[Labor]],Table1342[[#This Row],[Materials]],Table1342[[#This Row],[Mat_Inc]],Table1342[[#This Row],[Lab_Inc]])</f>
        <v>167434.70623892717</v>
      </c>
    </row>
    <row r="6" spans="2:12" ht="12.75" x14ac:dyDescent="0.35">
      <c r="B6" s="1" t="s">
        <v>7</v>
      </c>
      <c r="C6" s="6">
        <v>215000</v>
      </c>
      <c r="D6" s="6">
        <v>105350</v>
      </c>
      <c r="E6" s="6">
        <f>SUM(Table1342[[#This Row],[Labor]:[Materials]])</f>
        <v>320350</v>
      </c>
      <c r="F6" s="1">
        <v>90</v>
      </c>
      <c r="G6" s="1" t="s">
        <v>8</v>
      </c>
      <c r="H6">
        <v>2.4675102599179301E-2</v>
      </c>
      <c r="I6" s="4">
        <f>Table1342[[#This Row],[Materials]]*((1+Table1342[[#This Row],[Mat_Index_Chng]])^(Table1342[[#This Row],[Duration]]/$F$1)-1)</f>
        <v>126.64624331955253</v>
      </c>
      <c r="J6" s="1">
        <f t="shared" si="0"/>
        <v>0.26065318818040401</v>
      </c>
      <c r="K6" s="4">
        <f>Table1342[[#This Row],[Labor]]*((1+Table1342[[#This Row],[Lab_Index_Chng]])^(Table1342[[#This Row],[Duration]]/$F$1)-1)</f>
        <v>2468.6324005074212</v>
      </c>
      <c r="L6" s="6">
        <f>SUM(Table1342[[#This Row],[Labor]],Table1342[[#This Row],[Materials]],Table1342[[#This Row],[Mat_Inc]],Table1342[[#This Row],[Lab_Inc]])</f>
        <v>322945.27864382695</v>
      </c>
    </row>
    <row r="7" spans="2:12" ht="12.75" x14ac:dyDescent="0.35">
      <c r="B7" s="1" t="s">
        <v>9</v>
      </c>
      <c r="C7" s="6">
        <v>192000</v>
      </c>
      <c r="D7" s="6">
        <v>92160</v>
      </c>
      <c r="E7" s="6">
        <f>SUM(Table1342[[#This Row],[Labor]:[Materials]])</f>
        <v>284160</v>
      </c>
      <c r="F7" s="1">
        <v>150</v>
      </c>
      <c r="G7" s="1" t="s">
        <v>10</v>
      </c>
      <c r="H7">
        <v>0.43617946708463901</v>
      </c>
      <c r="I7" s="4">
        <f>Table1342[[#This Row],[Materials]]*((1+Table1342[[#This Row],[Mat_Index_Chng]])^(Table1342[[#This Row],[Duration]]/$F$1)-1)</f>
        <v>2781.6235111583296</v>
      </c>
      <c r="J7" s="1">
        <f t="shared" si="0"/>
        <v>0.26065318818040401</v>
      </c>
      <c r="K7" s="4">
        <f>Table1342[[#This Row],[Labor]]*((1+Table1342[[#This Row],[Lab_Index_Chng]])^(Table1342[[#This Row],[Duration]]/$F$1)-1)</f>
        <v>3688.2882689936023</v>
      </c>
      <c r="L7" s="6">
        <f>SUM(Table1342[[#This Row],[Labor]],Table1342[[#This Row],[Materials]],Table1342[[#This Row],[Mat_Inc]],Table1342[[#This Row],[Lab_Inc]])</f>
        <v>290629.91178015195</v>
      </c>
    </row>
    <row r="8" spans="2:12" ht="12.75" x14ac:dyDescent="0.35">
      <c r="B8" s="1" t="s">
        <v>11</v>
      </c>
      <c r="C8" s="6">
        <v>34500</v>
      </c>
      <c r="D8" s="6">
        <v>14835</v>
      </c>
      <c r="E8" s="6">
        <f>SUM(Table1342[[#This Row],[Labor]:[Materials]])</f>
        <v>49335</v>
      </c>
      <c r="F8" s="1">
        <v>160</v>
      </c>
      <c r="G8" s="1" t="s">
        <v>12</v>
      </c>
      <c r="H8">
        <v>0.42518630033872801</v>
      </c>
      <c r="I8" s="4">
        <f>Table1342[[#This Row],[Materials]]*((1+Table1342[[#This Row],[Mat_Index_Chng]])^(Table1342[[#This Row],[Duration]]/$F$1)-1)</f>
        <v>467.77804375733456</v>
      </c>
      <c r="J8" s="1">
        <f t="shared" si="0"/>
        <v>0.26065318818040401</v>
      </c>
      <c r="K8" s="4">
        <f>Table1342[[#This Row],[Labor]]*((1+Table1342[[#This Row],[Lab_Index_Chng]])^(Table1342[[#This Row],[Duration]]/$F$1)-1)</f>
        <v>707.37189955142537</v>
      </c>
      <c r="L8" s="6">
        <f>SUM(Table1342[[#This Row],[Labor]],Table1342[[#This Row],[Materials]],Table1342[[#This Row],[Mat_Inc]],Table1342[[#This Row],[Lab_Inc]])</f>
        <v>50510.149943308759</v>
      </c>
    </row>
    <row r="9" spans="2:12" ht="15.75" customHeight="1" x14ac:dyDescent="0.35">
      <c r="B9" s="1" t="s">
        <v>14</v>
      </c>
      <c r="C9" s="4">
        <f>SUBTOTAL(109,Table1342[Labor])</f>
        <v>664000</v>
      </c>
      <c r="D9" s="4">
        <f>SUBTOTAL(109,Table1342[Materials])</f>
        <v>368095</v>
      </c>
      <c r="E9" s="4">
        <f>SUBTOTAL(109,Table1342[Total])</f>
        <v>1032095</v>
      </c>
      <c r="F9" s="1"/>
      <c r="G9" s="1"/>
      <c r="H9" s="1"/>
      <c r="I9" s="4">
        <f>SUBTOTAL(109,Table1342[Mat_Inc])</f>
        <v>4760.2777132697047</v>
      </c>
      <c r="J9" s="4"/>
      <c r="K9" s="4">
        <f>SUBTOTAL(109,Table1342[Lab_Inc])</f>
        <v>8085.7999649074709</v>
      </c>
      <c r="L9" s="4">
        <f>SUBTOTAL(109,Table1342[Escalated])</f>
        <v>1044941.0776781772</v>
      </c>
    </row>
    <row r="11" spans="2:12" ht="15.75" customHeight="1" x14ac:dyDescent="0.35">
      <c r="B11" s="3" t="s">
        <v>15</v>
      </c>
      <c r="C11" s="8"/>
      <c r="D11" s="2">
        <f>Table1342[[#Totals],[Materials]]</f>
        <v>368095</v>
      </c>
      <c r="F11">
        <f>F8</f>
        <v>160</v>
      </c>
      <c r="H11">
        <v>0.28714843750000002</v>
      </c>
      <c r="I11" s="2">
        <f>D11*((1+H11)^(F11/F1)-1)</f>
        <v>8232.4798879479713</v>
      </c>
      <c r="J11" s="2"/>
      <c r="K11" s="2"/>
      <c r="L11" s="2">
        <f>SUM(I11,D11)</f>
        <v>376327.47988794796</v>
      </c>
    </row>
    <row r="12" spans="2:12" ht="15.75" customHeight="1" x14ac:dyDescent="0.35">
      <c r="B12" s="3" t="s">
        <v>22</v>
      </c>
      <c r="C12" s="5">
        <f>Table1342[[#Totals],[Labor]]</f>
        <v>664000</v>
      </c>
      <c r="F12">
        <f>F11</f>
        <v>160</v>
      </c>
      <c r="H12">
        <f>J8</f>
        <v>0.26065318818040401</v>
      </c>
      <c r="J12" s="2"/>
      <c r="K12" s="2">
        <f>C12*((1+H12)^(F12/F1)-1)</f>
        <v>13614.346124699896</v>
      </c>
      <c r="L12" s="2">
        <f>SUM(K12,C12)</f>
        <v>677614.34612469992</v>
      </c>
    </row>
    <row r="14" spans="2:12" ht="15.75" customHeight="1" x14ac:dyDescent="0.35">
      <c r="B14" s="3" t="s">
        <v>14</v>
      </c>
      <c r="L14" s="2">
        <f>SUM(L11:L12)</f>
        <v>1053941.8260126479</v>
      </c>
    </row>
    <row r="15" spans="2:12" ht="15.75" customHeight="1" x14ac:dyDescent="0.35">
      <c r="L15" s="2">
        <f>L14-Table1342[[#Totals],[Escalated]]</f>
        <v>9000.7483344707871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213F-8738-4A91-BD89-FDE7B9D0A5A6}">
  <sheetPr>
    <outlinePr summaryBelow="0" summaryRight="0"/>
  </sheetPr>
  <dimension ref="B1:L15"/>
  <sheetViews>
    <sheetView showGridLines="0" workbookViewId="0">
      <selection activeCell="N15" sqref="N15"/>
    </sheetView>
  </sheetViews>
  <sheetFormatPr defaultColWidth="12.59765625" defaultRowHeight="15.75" customHeight="1" x14ac:dyDescent="0.35"/>
  <cols>
    <col min="2" max="2" width="12.796875" bestFit="1" customWidth="1"/>
    <col min="3" max="3" width="12" style="5" bestFit="1" customWidth="1"/>
    <col min="4" max="4" width="12" style="2" bestFit="1" customWidth="1"/>
    <col min="5" max="5" width="13.59765625" style="2" bestFit="1" customWidth="1"/>
    <col min="6" max="6" width="8.33203125" bestFit="1" customWidth="1"/>
    <col min="7" max="7" width="13.06640625" bestFit="1" customWidth="1"/>
    <col min="8" max="8" width="15.33203125" bestFit="1" customWidth="1"/>
    <col min="9" max="9" width="11" style="5" bestFit="1" customWidth="1"/>
    <col min="10" max="10" width="15.59765625" bestFit="1" customWidth="1"/>
    <col min="11" max="11" width="11" style="5" bestFit="1" customWidth="1"/>
    <col min="12" max="12" width="13.59765625" style="2" bestFit="1" customWidth="1"/>
  </cols>
  <sheetData>
    <row r="1" spans="2:12" ht="15.75" customHeight="1" x14ac:dyDescent="0.35">
      <c r="E1" s="7" t="s">
        <v>23</v>
      </c>
      <c r="F1">
        <v>3653</v>
      </c>
    </row>
    <row r="3" spans="2:12" ht="12.75" x14ac:dyDescent="0.35">
      <c r="B3" s="1" t="s">
        <v>0</v>
      </c>
      <c r="C3" s="4" t="s">
        <v>16</v>
      </c>
      <c r="D3" s="6" t="s">
        <v>17</v>
      </c>
      <c r="E3" s="6" t="s">
        <v>14</v>
      </c>
      <c r="F3" s="1" t="s">
        <v>1</v>
      </c>
      <c r="G3" s="1" t="s">
        <v>2</v>
      </c>
      <c r="H3" s="1" t="s">
        <v>18</v>
      </c>
      <c r="I3" s="4" t="s">
        <v>19</v>
      </c>
      <c r="J3" s="1" t="s">
        <v>20</v>
      </c>
      <c r="K3" s="4" t="s">
        <v>21</v>
      </c>
      <c r="L3" s="6" t="s">
        <v>13</v>
      </c>
    </row>
    <row r="4" spans="2:12" ht="12.75" x14ac:dyDescent="0.35">
      <c r="B4" s="1" t="s">
        <v>3</v>
      </c>
      <c r="C4" s="6">
        <v>125000</v>
      </c>
      <c r="D4" s="6">
        <v>87500</v>
      </c>
      <c r="E4" s="6">
        <f>SUM(Table13423[[#This Row],[Labor]:[Materials]])</f>
        <v>212500</v>
      </c>
      <c r="F4" s="1">
        <v>30</v>
      </c>
      <c r="G4" s="1" t="s">
        <v>4</v>
      </c>
      <c r="H4">
        <v>0.56914953647722699</v>
      </c>
      <c r="I4" s="4">
        <f>Table13423[[#This Row],[Materials]]*((1+Table13423[[#This Row],[Mat_Index_Chng]])^(Table13423[[#This Row],[Duration]]/$F$1)-1)</f>
        <v>324.3475920332167</v>
      </c>
      <c r="J4">
        <f t="shared" ref="J4:J8" si="0">0.46529284164859</f>
        <v>0.46529284164859003</v>
      </c>
      <c r="K4" s="4">
        <f>Table13423[[#This Row],[Labor]]*((1+Table13423[[#This Row],[Lab_Index_Chng]])^(Table13423[[#This Row],[Duration]]/$F$1)-1)</f>
        <v>392.81594906717675</v>
      </c>
      <c r="L4" s="6">
        <f>SUM(Table13423[[#This Row],[Labor]],Table13423[[#This Row],[Materials]],Table13423[[#This Row],[Mat_Inc]],Table13423[[#This Row],[Lab_Inc]])</f>
        <v>213217.1635411004</v>
      </c>
    </row>
    <row r="5" spans="2:12" ht="12.75" x14ac:dyDescent="0.35">
      <c r="B5" s="1" t="s">
        <v>5</v>
      </c>
      <c r="C5" s="6">
        <v>97500</v>
      </c>
      <c r="D5" s="6">
        <v>68250</v>
      </c>
      <c r="E5" s="6">
        <f>SUM(Table13423[[#This Row],[Labor]:[Materials]])</f>
        <v>165750</v>
      </c>
      <c r="F5" s="1">
        <v>60</v>
      </c>
      <c r="G5" s="1" t="s">
        <v>6</v>
      </c>
      <c r="H5">
        <v>0.98845523329129903</v>
      </c>
      <c r="I5" s="4">
        <f>Table13423[[#This Row],[Materials]]*((1+Table13423[[#This Row],[Mat_Index_Chng]])^(Table13423[[#This Row],[Duration]]/$F$1)-1)</f>
        <v>774.8918935492577</v>
      </c>
      <c r="J5" s="1">
        <f t="shared" si="0"/>
        <v>0.46529284164859003</v>
      </c>
      <c r="K5" s="4">
        <f>Table13423[[#This Row],[Labor]]*((1+Table13423[[#This Row],[Lab_Index_Chng]])^(Table13423[[#This Row],[Duration]]/$F$1)-1)</f>
        <v>613.75573981260095</v>
      </c>
      <c r="L5" s="6">
        <f>SUM(Table13423[[#This Row],[Labor]],Table13423[[#This Row],[Materials]],Table13423[[#This Row],[Mat_Inc]],Table13423[[#This Row],[Lab_Inc]])</f>
        <v>167138.64763336186</v>
      </c>
    </row>
    <row r="6" spans="2:12" ht="12.75" x14ac:dyDescent="0.35">
      <c r="B6" s="1" t="s">
        <v>7</v>
      </c>
      <c r="C6" s="6">
        <v>215000</v>
      </c>
      <c r="D6" s="6">
        <v>105350</v>
      </c>
      <c r="E6" s="6">
        <f>SUM(Table13423[[#This Row],[Labor]:[Materials]])</f>
        <v>320350</v>
      </c>
      <c r="F6" s="1">
        <v>90</v>
      </c>
      <c r="G6" s="1" t="s">
        <v>8</v>
      </c>
      <c r="H6">
        <v>0.36312556869881701</v>
      </c>
      <c r="I6" s="4">
        <f>Table13423[[#This Row],[Materials]]*((1+Table13423[[#This Row],[Mat_Index_Chng]])^(Table13423[[#This Row],[Duration]]/$F$1)-1)</f>
        <v>807.12256950291055</v>
      </c>
      <c r="J6" s="1">
        <f t="shared" si="0"/>
        <v>0.46529284164859003</v>
      </c>
      <c r="K6" s="4">
        <f>Table13423[[#This Row],[Labor]]*((1+Table13423[[#This Row],[Lab_Index_Chng]])^(Table13423[[#This Row],[Duration]]/$F$1)-1)</f>
        <v>2033.3066538766409</v>
      </c>
      <c r="L6" s="6">
        <f>SUM(Table13423[[#This Row],[Labor]],Table13423[[#This Row],[Materials]],Table13423[[#This Row],[Mat_Inc]],Table13423[[#This Row],[Lab_Inc]])</f>
        <v>323190.42922337953</v>
      </c>
    </row>
    <row r="7" spans="2:12" ht="12.75" x14ac:dyDescent="0.35">
      <c r="B7" s="1" t="s">
        <v>9</v>
      </c>
      <c r="C7" s="6">
        <v>192000</v>
      </c>
      <c r="D7" s="6">
        <v>92160</v>
      </c>
      <c r="E7" s="6">
        <f>SUM(Table13423[[#This Row],[Labor]:[Materials]])</f>
        <v>284160</v>
      </c>
      <c r="F7" s="1">
        <v>150</v>
      </c>
      <c r="G7" s="1" t="s">
        <v>10</v>
      </c>
      <c r="H7">
        <v>0.662190476190476</v>
      </c>
      <c r="I7" s="4">
        <f>Table13423[[#This Row],[Materials]]*((1+Table13423[[#This Row],[Mat_Index_Chng]])^(Table13423[[#This Row],[Duration]]/$F$1)-1)</f>
        <v>1943.1349429276838</v>
      </c>
      <c r="J7" s="1">
        <f t="shared" si="0"/>
        <v>0.46529284164859003</v>
      </c>
      <c r="K7" s="4">
        <f>Table13423[[#This Row],[Labor]]*((1+Table13423[[#This Row],[Lab_Index_Chng]])^(Table13423[[#This Row],[Duration]]/$F$1)-1)</f>
        <v>3035.847088702255</v>
      </c>
      <c r="L7" s="6">
        <f>SUM(Table13423[[#This Row],[Labor]],Table13423[[#This Row],[Materials]],Table13423[[#This Row],[Mat_Inc]],Table13423[[#This Row],[Lab_Inc]])</f>
        <v>289138.98203162994</v>
      </c>
    </row>
    <row r="8" spans="2:12" ht="12.75" x14ac:dyDescent="0.35">
      <c r="B8" s="1" t="s">
        <v>11</v>
      </c>
      <c r="C8" s="6">
        <v>34500</v>
      </c>
      <c r="D8" s="6">
        <v>14835</v>
      </c>
      <c r="E8" s="6">
        <f>SUM(Table13423[[#This Row],[Labor]:[Materials]])</f>
        <v>49335</v>
      </c>
      <c r="F8" s="1">
        <v>160</v>
      </c>
      <c r="G8" s="1" t="s">
        <v>12</v>
      </c>
      <c r="H8">
        <v>0.65793345008756599</v>
      </c>
      <c r="I8" s="4">
        <f>Table13423[[#This Row],[Materials]]*((1+Table13423[[#This Row],[Mat_Index_Chng]])^(Table13423[[#This Row],[Duration]]/$F$1)-1)</f>
        <v>332.16827712787619</v>
      </c>
      <c r="J8" s="1">
        <f t="shared" si="0"/>
        <v>0.46529284164859003</v>
      </c>
      <c r="K8" s="4">
        <f>Table13423[[#This Row],[Labor]]*((1+Table13423[[#This Row],[Lab_Index_Chng]])^(Table13423[[#This Row],[Duration]]/$F$1)-1)</f>
        <v>582.17587370784804</v>
      </c>
      <c r="L8" s="6">
        <f>SUM(Table13423[[#This Row],[Labor]],Table13423[[#This Row],[Materials]],Table13423[[#This Row],[Mat_Inc]],Table13423[[#This Row],[Lab_Inc]])</f>
        <v>50249.344150835728</v>
      </c>
    </row>
    <row r="9" spans="2:12" ht="15.75" customHeight="1" x14ac:dyDescent="0.35">
      <c r="B9" s="1" t="s">
        <v>14</v>
      </c>
      <c r="C9" s="4">
        <f>SUBTOTAL(109,Table13423[Labor])</f>
        <v>664000</v>
      </c>
      <c r="D9" s="4">
        <f>SUBTOTAL(109,Table13423[Materials])</f>
        <v>368095</v>
      </c>
      <c r="E9" s="4">
        <f>SUBTOTAL(109,Table13423[Total])</f>
        <v>1032095</v>
      </c>
      <c r="F9" s="1"/>
      <c r="G9" s="1"/>
      <c r="H9" s="1"/>
      <c r="I9" s="4">
        <f>SUBTOTAL(109,Table13423[Mat_Inc])</f>
        <v>4181.6652751409447</v>
      </c>
      <c r="J9" s="4"/>
      <c r="K9" s="4">
        <f>SUBTOTAL(109,Table13423[Lab_Inc])</f>
        <v>6657.9013051665215</v>
      </c>
      <c r="L9" s="4">
        <f>SUBTOTAL(109,Table13423[Escalated])</f>
        <v>1042934.5665803076</v>
      </c>
    </row>
    <row r="11" spans="2:12" ht="15.75" customHeight="1" x14ac:dyDescent="0.35">
      <c r="B11" s="3" t="s">
        <v>15</v>
      </c>
      <c r="C11" s="8"/>
      <c r="D11" s="2">
        <f>Table13423[[#Totals],[Materials]]</f>
        <v>368095</v>
      </c>
      <c r="F11">
        <f>F8</f>
        <v>160</v>
      </c>
      <c r="H11">
        <v>0.443636363636364</v>
      </c>
      <c r="I11" s="2">
        <f>D11*((1+H11)^(F11/F1)-1)</f>
        <v>5967.4459765849597</v>
      </c>
      <c r="J11" s="2"/>
      <c r="K11" s="2"/>
      <c r="L11" s="2">
        <f>SUM(I11,D11)</f>
        <v>374062.44597658498</v>
      </c>
    </row>
    <row r="12" spans="2:12" ht="15.75" customHeight="1" x14ac:dyDescent="0.35">
      <c r="B12" s="3" t="s">
        <v>22</v>
      </c>
      <c r="C12" s="5">
        <f>Table13423[[#Totals],[Labor]]</f>
        <v>664000</v>
      </c>
      <c r="F12">
        <f>F11</f>
        <v>160</v>
      </c>
      <c r="H12">
        <f>J8</f>
        <v>0.46529284164859003</v>
      </c>
      <c r="J12" s="2"/>
      <c r="K12" s="2">
        <f>C12*((1+H12)^(F12/F1)-1)</f>
        <v>11204.776236000322</v>
      </c>
      <c r="L12" s="2">
        <f>SUM(K12,C12)</f>
        <v>675204.77623600035</v>
      </c>
    </row>
    <row r="14" spans="2:12" ht="15.75" customHeight="1" x14ac:dyDescent="0.35">
      <c r="B14" s="3" t="s">
        <v>14</v>
      </c>
      <c r="L14" s="2">
        <f>SUM(L11:L12)</f>
        <v>1049267.2222125854</v>
      </c>
    </row>
    <row r="15" spans="2:12" ht="15.75" customHeight="1" x14ac:dyDescent="0.35">
      <c r="L15" s="2">
        <f>L14-Table13423[[#Totals],[Escalated]]</f>
        <v>6332.6556322778342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yr</vt:lpstr>
      <vt:lpstr>5 yr</vt:lpstr>
      <vt:lpstr>10 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Hopkins</cp:lastModifiedBy>
  <dcterms:modified xsi:type="dcterms:W3CDTF">2026-07-10T02:10:55Z</dcterms:modified>
</cp:coreProperties>
</file>