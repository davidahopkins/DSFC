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F752758F-E350-436C-BCE4-22C604E0E850}" xr6:coauthVersionLast="47" xr6:coauthVersionMax="47" xr10:uidLastSave="{00000000-0000-0000-0000-000000000000}"/>
  <bookViews>
    <workbookView xWindow="-98" yWindow="-98" windowWidth="22245" windowHeight="13321" xr2:uid="{00000000-000D-0000-FFFF-FFFF00000000}"/>
  </bookViews>
  <sheets>
    <sheet name="Schedule" sheetId="1" r:id="rId1"/>
    <sheet name="Cashflo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 s="1"/>
  <c r="J3" i="2"/>
  <c r="J4" i="2"/>
  <c r="J5" i="2"/>
  <c r="J6" i="2"/>
  <c r="J7" i="2"/>
  <c r="I3" i="2"/>
  <c r="I4" i="2"/>
  <c r="I5" i="2"/>
  <c r="I6" i="2"/>
  <c r="I7" i="2"/>
  <c r="G3" i="2" a="1"/>
  <c r="G3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C3" i="2"/>
  <c r="D3" i="2" s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D4" i="2" l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<sst xmlns="http://schemas.openxmlformats.org/spreadsheetml/2006/main" count="39" uniqueCount="37">
  <si>
    <t>WBS</t>
  </si>
  <si>
    <t>Division</t>
  </si>
  <si>
    <t>Start Date</t>
  </si>
  <si>
    <t>Finish Date</t>
  </si>
  <si>
    <t>Budget</t>
  </si>
  <si>
    <t>Duration</t>
  </si>
  <si>
    <t>General Conditions</t>
  </si>
  <si>
    <t>Existing Conditions</t>
  </si>
  <si>
    <t>Concrete</t>
  </si>
  <si>
    <t>Woods, Plastics, Composites</t>
  </si>
  <si>
    <t>Thermal &amp; Moisture</t>
  </si>
  <si>
    <t>Finishes</t>
  </si>
  <si>
    <t>Plumbing</t>
  </si>
  <si>
    <t>Electrical</t>
  </si>
  <si>
    <t>HVAC</t>
  </si>
  <si>
    <t>1.7.1</t>
  </si>
  <si>
    <t>1.7.2</t>
  </si>
  <si>
    <t>1.7.3</t>
  </si>
  <si>
    <t>1.8.1</t>
  </si>
  <si>
    <t>1.8.2</t>
  </si>
  <si>
    <t>1.8.3</t>
  </si>
  <si>
    <t>1.9.1</t>
  </si>
  <si>
    <t>1.9.2</t>
  </si>
  <si>
    <t>Rough Plumbing</t>
  </si>
  <si>
    <t>Finish Plumbing</t>
  </si>
  <si>
    <t>Underground Plumbing</t>
  </si>
  <si>
    <t>Underground Electrical</t>
  </si>
  <si>
    <t>Rough Electrical</t>
  </si>
  <si>
    <t>Finish Electrical</t>
  </si>
  <si>
    <t>Rough HVAC</t>
  </si>
  <si>
    <t>Finish HVAC</t>
  </si>
  <si>
    <t>Date</t>
  </si>
  <si>
    <t>Cost per Day</t>
  </si>
  <si>
    <t>Daily Cost</t>
  </si>
  <si>
    <t>Cumulative Cost</t>
  </si>
  <si>
    <t>Month</t>
  </si>
  <si>
    <t>Monthly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</si>
</sst>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Cashflow!$C$2</c:f>
              <c:strCache>
                <c:ptCount val="1"/>
                <c:pt idx="0">
                  <c:v> Daily Cost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Cashflow!$B$3:$B$153</c:f>
              <c:numCache>
                <c:formatCode>m/d/yyyy</c:formatCode>
                <c:ptCount val="151"/>
                <c:pt idx="0">
                  <c:v>46388</c:v>
                </c:pt>
                <c:pt idx="1">
                  <c:v>46389</c:v>
                </c:pt>
                <c:pt idx="2">
                  <c:v>46390</c:v>
                </c:pt>
                <c:pt idx="3">
                  <c:v>46391</c:v>
                </c:pt>
                <c:pt idx="4">
                  <c:v>46392</c:v>
                </c:pt>
                <c:pt idx="5">
                  <c:v>46393</c:v>
                </c:pt>
                <c:pt idx="6">
                  <c:v>46394</c:v>
                </c:pt>
                <c:pt idx="7">
                  <c:v>46395</c:v>
                </c:pt>
                <c:pt idx="8">
                  <c:v>46396</c:v>
                </c:pt>
                <c:pt idx="9">
                  <c:v>46397</c:v>
                </c:pt>
                <c:pt idx="10">
                  <c:v>46398</c:v>
                </c:pt>
                <c:pt idx="11">
                  <c:v>46399</c:v>
                </c:pt>
                <c:pt idx="12">
                  <c:v>46400</c:v>
                </c:pt>
                <c:pt idx="13">
                  <c:v>46401</c:v>
                </c:pt>
                <c:pt idx="14">
                  <c:v>46402</c:v>
                </c:pt>
                <c:pt idx="15">
                  <c:v>46403</c:v>
                </c:pt>
                <c:pt idx="16">
                  <c:v>46404</c:v>
                </c:pt>
                <c:pt idx="17">
                  <c:v>46405</c:v>
                </c:pt>
                <c:pt idx="18">
                  <c:v>46406</c:v>
                </c:pt>
                <c:pt idx="19">
                  <c:v>46407</c:v>
                </c:pt>
                <c:pt idx="20">
                  <c:v>46408</c:v>
                </c:pt>
                <c:pt idx="21">
                  <c:v>46409</c:v>
                </c:pt>
                <c:pt idx="22">
                  <c:v>46410</c:v>
                </c:pt>
                <c:pt idx="23">
                  <c:v>46411</c:v>
                </c:pt>
                <c:pt idx="24">
                  <c:v>46412</c:v>
                </c:pt>
                <c:pt idx="25">
                  <c:v>46413</c:v>
                </c:pt>
                <c:pt idx="26">
                  <c:v>46414</c:v>
                </c:pt>
                <c:pt idx="27">
                  <c:v>46415</c:v>
                </c:pt>
                <c:pt idx="28">
                  <c:v>46416</c:v>
                </c:pt>
                <c:pt idx="29">
                  <c:v>46417</c:v>
                </c:pt>
                <c:pt idx="30">
                  <c:v>46418</c:v>
                </c:pt>
                <c:pt idx="31">
                  <c:v>46419</c:v>
                </c:pt>
                <c:pt idx="32">
                  <c:v>46420</c:v>
                </c:pt>
                <c:pt idx="33">
                  <c:v>46421</c:v>
                </c:pt>
                <c:pt idx="34">
                  <c:v>46422</c:v>
                </c:pt>
                <c:pt idx="35">
                  <c:v>46423</c:v>
                </c:pt>
                <c:pt idx="36">
                  <c:v>46424</c:v>
                </c:pt>
                <c:pt idx="37">
                  <c:v>46425</c:v>
                </c:pt>
                <c:pt idx="38">
                  <c:v>46426</c:v>
                </c:pt>
                <c:pt idx="39">
                  <c:v>46427</c:v>
                </c:pt>
                <c:pt idx="40">
                  <c:v>46428</c:v>
                </c:pt>
                <c:pt idx="41">
                  <c:v>46429</c:v>
                </c:pt>
                <c:pt idx="42">
                  <c:v>46430</c:v>
                </c:pt>
                <c:pt idx="43">
                  <c:v>46431</c:v>
                </c:pt>
                <c:pt idx="44">
                  <c:v>46432</c:v>
                </c:pt>
                <c:pt idx="45">
                  <c:v>46433</c:v>
                </c:pt>
                <c:pt idx="46">
                  <c:v>46434</c:v>
                </c:pt>
                <c:pt idx="47">
                  <c:v>46435</c:v>
                </c:pt>
                <c:pt idx="48">
                  <c:v>46436</c:v>
                </c:pt>
                <c:pt idx="49">
                  <c:v>46437</c:v>
                </c:pt>
                <c:pt idx="50">
                  <c:v>46438</c:v>
                </c:pt>
                <c:pt idx="51">
                  <c:v>46439</c:v>
                </c:pt>
                <c:pt idx="52">
                  <c:v>46440</c:v>
                </c:pt>
                <c:pt idx="53">
                  <c:v>46441</c:v>
                </c:pt>
                <c:pt idx="54">
                  <c:v>46442</c:v>
                </c:pt>
                <c:pt idx="55">
                  <c:v>46443</c:v>
                </c:pt>
                <c:pt idx="56">
                  <c:v>46444</c:v>
                </c:pt>
                <c:pt idx="57">
                  <c:v>46445</c:v>
                </c:pt>
                <c:pt idx="58">
                  <c:v>46446</c:v>
                </c:pt>
                <c:pt idx="59">
                  <c:v>46447</c:v>
                </c:pt>
                <c:pt idx="60">
                  <c:v>46448</c:v>
                </c:pt>
                <c:pt idx="61">
                  <c:v>46449</c:v>
                </c:pt>
                <c:pt idx="62">
                  <c:v>46450</c:v>
                </c:pt>
                <c:pt idx="63">
                  <c:v>46451</c:v>
                </c:pt>
                <c:pt idx="64">
                  <c:v>46452</c:v>
                </c:pt>
                <c:pt idx="65">
                  <c:v>46453</c:v>
                </c:pt>
                <c:pt idx="66">
                  <c:v>46454</c:v>
                </c:pt>
                <c:pt idx="67">
                  <c:v>46455</c:v>
                </c:pt>
                <c:pt idx="68">
                  <c:v>46456</c:v>
                </c:pt>
                <c:pt idx="69">
                  <c:v>46457</c:v>
                </c:pt>
                <c:pt idx="70">
                  <c:v>46458</c:v>
                </c:pt>
                <c:pt idx="71">
                  <c:v>46459</c:v>
                </c:pt>
                <c:pt idx="72">
                  <c:v>46460</c:v>
                </c:pt>
                <c:pt idx="73">
                  <c:v>46461</c:v>
                </c:pt>
                <c:pt idx="74">
                  <c:v>46462</c:v>
                </c:pt>
                <c:pt idx="75">
                  <c:v>46463</c:v>
                </c:pt>
                <c:pt idx="76">
                  <c:v>46464</c:v>
                </c:pt>
                <c:pt idx="77">
                  <c:v>46465</c:v>
                </c:pt>
                <c:pt idx="78">
                  <c:v>46466</c:v>
                </c:pt>
                <c:pt idx="79">
                  <c:v>46467</c:v>
                </c:pt>
                <c:pt idx="80">
                  <c:v>46468</c:v>
                </c:pt>
                <c:pt idx="81">
                  <c:v>46469</c:v>
                </c:pt>
                <c:pt idx="82">
                  <c:v>46470</c:v>
                </c:pt>
                <c:pt idx="83">
                  <c:v>46471</c:v>
                </c:pt>
                <c:pt idx="84">
                  <c:v>46472</c:v>
                </c:pt>
                <c:pt idx="85">
                  <c:v>46473</c:v>
                </c:pt>
                <c:pt idx="86">
                  <c:v>46474</c:v>
                </c:pt>
                <c:pt idx="87">
                  <c:v>46475</c:v>
                </c:pt>
                <c:pt idx="88">
                  <c:v>46476</c:v>
                </c:pt>
                <c:pt idx="89">
                  <c:v>46477</c:v>
                </c:pt>
                <c:pt idx="90">
                  <c:v>46478</c:v>
                </c:pt>
                <c:pt idx="91">
                  <c:v>46479</c:v>
                </c:pt>
                <c:pt idx="92">
                  <c:v>46480</c:v>
                </c:pt>
                <c:pt idx="93">
                  <c:v>46481</c:v>
                </c:pt>
                <c:pt idx="94">
                  <c:v>46482</c:v>
                </c:pt>
                <c:pt idx="95">
                  <c:v>46483</c:v>
                </c:pt>
                <c:pt idx="96">
                  <c:v>46484</c:v>
                </c:pt>
                <c:pt idx="97">
                  <c:v>46485</c:v>
                </c:pt>
                <c:pt idx="98">
                  <c:v>46486</c:v>
                </c:pt>
                <c:pt idx="99">
                  <c:v>46487</c:v>
                </c:pt>
                <c:pt idx="100">
                  <c:v>46488</c:v>
                </c:pt>
                <c:pt idx="101">
                  <c:v>46489</c:v>
                </c:pt>
                <c:pt idx="102">
                  <c:v>46490</c:v>
                </c:pt>
                <c:pt idx="103">
                  <c:v>46491</c:v>
                </c:pt>
                <c:pt idx="104">
                  <c:v>46492</c:v>
                </c:pt>
                <c:pt idx="105">
                  <c:v>46493</c:v>
                </c:pt>
                <c:pt idx="106">
                  <c:v>46494</c:v>
                </c:pt>
                <c:pt idx="107">
                  <c:v>46495</c:v>
                </c:pt>
                <c:pt idx="108">
                  <c:v>46496</c:v>
                </c:pt>
                <c:pt idx="109">
                  <c:v>46497</c:v>
                </c:pt>
                <c:pt idx="110">
                  <c:v>46498</c:v>
                </c:pt>
                <c:pt idx="111">
                  <c:v>46499</c:v>
                </c:pt>
                <c:pt idx="112">
                  <c:v>46500</c:v>
                </c:pt>
                <c:pt idx="113">
                  <c:v>46501</c:v>
                </c:pt>
                <c:pt idx="114">
                  <c:v>46502</c:v>
                </c:pt>
                <c:pt idx="115">
                  <c:v>46503</c:v>
                </c:pt>
                <c:pt idx="116">
                  <c:v>46504</c:v>
                </c:pt>
                <c:pt idx="117">
                  <c:v>46505</c:v>
                </c:pt>
                <c:pt idx="118">
                  <c:v>46506</c:v>
                </c:pt>
                <c:pt idx="119">
                  <c:v>46507</c:v>
                </c:pt>
                <c:pt idx="120">
                  <c:v>46508</c:v>
                </c:pt>
                <c:pt idx="121">
                  <c:v>46509</c:v>
                </c:pt>
                <c:pt idx="122">
                  <c:v>46510</c:v>
                </c:pt>
                <c:pt idx="123">
                  <c:v>46511</c:v>
                </c:pt>
                <c:pt idx="124">
                  <c:v>46512</c:v>
                </c:pt>
                <c:pt idx="125">
                  <c:v>46513</c:v>
                </c:pt>
                <c:pt idx="126">
                  <c:v>46514</c:v>
                </c:pt>
                <c:pt idx="127">
                  <c:v>46515</c:v>
                </c:pt>
                <c:pt idx="128">
                  <c:v>46516</c:v>
                </c:pt>
                <c:pt idx="129">
                  <c:v>46517</c:v>
                </c:pt>
                <c:pt idx="130">
                  <c:v>46518</c:v>
                </c:pt>
                <c:pt idx="131">
                  <c:v>46519</c:v>
                </c:pt>
                <c:pt idx="132">
                  <c:v>46520</c:v>
                </c:pt>
                <c:pt idx="133">
                  <c:v>46521</c:v>
                </c:pt>
                <c:pt idx="134">
                  <c:v>46522</c:v>
                </c:pt>
                <c:pt idx="135">
                  <c:v>46523</c:v>
                </c:pt>
                <c:pt idx="136">
                  <c:v>46524</c:v>
                </c:pt>
                <c:pt idx="137">
                  <c:v>46525</c:v>
                </c:pt>
                <c:pt idx="138">
                  <c:v>46526</c:v>
                </c:pt>
                <c:pt idx="139">
                  <c:v>46527</c:v>
                </c:pt>
                <c:pt idx="140">
                  <c:v>46528</c:v>
                </c:pt>
                <c:pt idx="141">
                  <c:v>46529</c:v>
                </c:pt>
                <c:pt idx="142">
                  <c:v>46530</c:v>
                </c:pt>
                <c:pt idx="143">
                  <c:v>46531</c:v>
                </c:pt>
                <c:pt idx="144">
                  <c:v>46532</c:v>
                </c:pt>
                <c:pt idx="145">
                  <c:v>46533</c:v>
                </c:pt>
                <c:pt idx="146">
                  <c:v>46534</c:v>
                </c:pt>
                <c:pt idx="147">
                  <c:v>46535</c:v>
                </c:pt>
                <c:pt idx="148">
                  <c:v>46536</c:v>
                </c:pt>
                <c:pt idx="149">
                  <c:v>46537</c:v>
                </c:pt>
                <c:pt idx="150">
                  <c:v>46538</c:v>
                </c:pt>
              </c:numCache>
            </c:numRef>
          </c:cat>
          <c:val>
            <c:numRef>
              <c:f>Cashflow!$C$3:$C$153</c:f>
              <c:numCache>
                <c:formatCode>_("$"* #,##0.00_);_("$"* \(#,##0.00\);_("$"* "-"??_);_(@_)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0</c:v>
                </c:pt>
                <c:pt idx="9">
                  <c:v>0</c:v>
                </c:pt>
                <c:pt idx="10">
                  <c:v>2000</c:v>
                </c:pt>
                <c:pt idx="11">
                  <c:v>4500</c:v>
                </c:pt>
                <c:pt idx="12">
                  <c:v>4500</c:v>
                </c:pt>
                <c:pt idx="13">
                  <c:v>4500</c:v>
                </c:pt>
                <c:pt idx="14">
                  <c:v>4500</c:v>
                </c:pt>
                <c:pt idx="15">
                  <c:v>0</c:v>
                </c:pt>
                <c:pt idx="16">
                  <c:v>0</c:v>
                </c:pt>
                <c:pt idx="17">
                  <c:v>10250</c:v>
                </c:pt>
                <c:pt idx="18">
                  <c:v>10250</c:v>
                </c:pt>
                <c:pt idx="19">
                  <c:v>10250</c:v>
                </c:pt>
                <c:pt idx="20">
                  <c:v>10250</c:v>
                </c:pt>
                <c:pt idx="21">
                  <c:v>10250</c:v>
                </c:pt>
                <c:pt idx="22">
                  <c:v>0</c:v>
                </c:pt>
                <c:pt idx="23">
                  <c:v>0</c:v>
                </c:pt>
                <c:pt idx="24">
                  <c:v>5500</c:v>
                </c:pt>
                <c:pt idx="25">
                  <c:v>5500</c:v>
                </c:pt>
                <c:pt idx="26">
                  <c:v>5500</c:v>
                </c:pt>
                <c:pt idx="27">
                  <c:v>5500</c:v>
                </c:pt>
                <c:pt idx="28">
                  <c:v>5500</c:v>
                </c:pt>
                <c:pt idx="29">
                  <c:v>0</c:v>
                </c:pt>
                <c:pt idx="30">
                  <c:v>0</c:v>
                </c:pt>
                <c:pt idx="31">
                  <c:v>7500</c:v>
                </c:pt>
                <c:pt idx="32">
                  <c:v>7500</c:v>
                </c:pt>
                <c:pt idx="33">
                  <c:v>7500</c:v>
                </c:pt>
                <c:pt idx="34">
                  <c:v>7500</c:v>
                </c:pt>
                <c:pt idx="35">
                  <c:v>7500</c:v>
                </c:pt>
                <c:pt idx="36">
                  <c:v>0</c:v>
                </c:pt>
                <c:pt idx="37">
                  <c:v>0</c:v>
                </c:pt>
                <c:pt idx="38">
                  <c:v>7500</c:v>
                </c:pt>
                <c:pt idx="39">
                  <c:v>7500</c:v>
                </c:pt>
                <c:pt idx="40">
                  <c:v>7500</c:v>
                </c:pt>
                <c:pt idx="41">
                  <c:v>7500</c:v>
                </c:pt>
                <c:pt idx="42">
                  <c:v>7500</c:v>
                </c:pt>
                <c:pt idx="43">
                  <c:v>0</c:v>
                </c:pt>
                <c:pt idx="44">
                  <c:v>0</c:v>
                </c:pt>
                <c:pt idx="45">
                  <c:v>11250</c:v>
                </c:pt>
                <c:pt idx="46">
                  <c:v>11250</c:v>
                </c:pt>
                <c:pt idx="47">
                  <c:v>11250</c:v>
                </c:pt>
                <c:pt idx="48">
                  <c:v>11250</c:v>
                </c:pt>
                <c:pt idx="49">
                  <c:v>11250</c:v>
                </c:pt>
                <c:pt idx="50">
                  <c:v>0</c:v>
                </c:pt>
                <c:pt idx="51">
                  <c:v>0</c:v>
                </c:pt>
                <c:pt idx="52">
                  <c:v>11250</c:v>
                </c:pt>
                <c:pt idx="53">
                  <c:v>11250</c:v>
                </c:pt>
                <c:pt idx="54">
                  <c:v>11250</c:v>
                </c:pt>
                <c:pt idx="55">
                  <c:v>11250</c:v>
                </c:pt>
                <c:pt idx="56">
                  <c:v>11250</c:v>
                </c:pt>
                <c:pt idx="57">
                  <c:v>0</c:v>
                </c:pt>
                <c:pt idx="58">
                  <c:v>0</c:v>
                </c:pt>
                <c:pt idx="59">
                  <c:v>12250</c:v>
                </c:pt>
                <c:pt idx="60">
                  <c:v>12250</c:v>
                </c:pt>
                <c:pt idx="61">
                  <c:v>12250</c:v>
                </c:pt>
                <c:pt idx="62">
                  <c:v>12250</c:v>
                </c:pt>
                <c:pt idx="63">
                  <c:v>12250</c:v>
                </c:pt>
                <c:pt idx="64">
                  <c:v>0</c:v>
                </c:pt>
                <c:pt idx="65">
                  <c:v>0</c:v>
                </c:pt>
                <c:pt idx="66">
                  <c:v>19750</c:v>
                </c:pt>
                <c:pt idx="67">
                  <c:v>19750</c:v>
                </c:pt>
                <c:pt idx="68">
                  <c:v>19750</c:v>
                </c:pt>
                <c:pt idx="69">
                  <c:v>19750</c:v>
                </c:pt>
                <c:pt idx="70">
                  <c:v>19750</c:v>
                </c:pt>
                <c:pt idx="71">
                  <c:v>0</c:v>
                </c:pt>
                <c:pt idx="72">
                  <c:v>0</c:v>
                </c:pt>
                <c:pt idx="73">
                  <c:v>22750</c:v>
                </c:pt>
                <c:pt idx="74">
                  <c:v>22750</c:v>
                </c:pt>
                <c:pt idx="75">
                  <c:v>22750</c:v>
                </c:pt>
                <c:pt idx="76">
                  <c:v>22750</c:v>
                </c:pt>
                <c:pt idx="77">
                  <c:v>22750</c:v>
                </c:pt>
                <c:pt idx="78">
                  <c:v>0</c:v>
                </c:pt>
                <c:pt idx="79">
                  <c:v>0</c:v>
                </c:pt>
                <c:pt idx="80">
                  <c:v>19250</c:v>
                </c:pt>
                <c:pt idx="81">
                  <c:v>19250</c:v>
                </c:pt>
                <c:pt idx="82">
                  <c:v>19250</c:v>
                </c:pt>
                <c:pt idx="83">
                  <c:v>19250</c:v>
                </c:pt>
                <c:pt idx="84">
                  <c:v>19250</c:v>
                </c:pt>
                <c:pt idx="85">
                  <c:v>0</c:v>
                </c:pt>
                <c:pt idx="86">
                  <c:v>0</c:v>
                </c:pt>
                <c:pt idx="87">
                  <c:v>6750</c:v>
                </c:pt>
                <c:pt idx="88">
                  <c:v>6750</c:v>
                </c:pt>
                <c:pt idx="89">
                  <c:v>6750</c:v>
                </c:pt>
                <c:pt idx="90">
                  <c:v>6750</c:v>
                </c:pt>
                <c:pt idx="91">
                  <c:v>6750</c:v>
                </c:pt>
                <c:pt idx="92">
                  <c:v>0</c:v>
                </c:pt>
                <c:pt idx="93">
                  <c:v>0</c:v>
                </c:pt>
                <c:pt idx="94">
                  <c:v>6750</c:v>
                </c:pt>
                <c:pt idx="95">
                  <c:v>6750</c:v>
                </c:pt>
                <c:pt idx="96">
                  <c:v>6750</c:v>
                </c:pt>
                <c:pt idx="97">
                  <c:v>6750</c:v>
                </c:pt>
                <c:pt idx="98">
                  <c:v>6750</c:v>
                </c:pt>
                <c:pt idx="99">
                  <c:v>0</c:v>
                </c:pt>
                <c:pt idx="100">
                  <c:v>0</c:v>
                </c:pt>
                <c:pt idx="101">
                  <c:v>17250</c:v>
                </c:pt>
                <c:pt idx="102">
                  <c:v>17250</c:v>
                </c:pt>
                <c:pt idx="103">
                  <c:v>17250</c:v>
                </c:pt>
                <c:pt idx="104">
                  <c:v>17250</c:v>
                </c:pt>
                <c:pt idx="105">
                  <c:v>17250</c:v>
                </c:pt>
                <c:pt idx="106">
                  <c:v>0</c:v>
                </c:pt>
                <c:pt idx="107">
                  <c:v>0</c:v>
                </c:pt>
                <c:pt idx="108">
                  <c:v>11250</c:v>
                </c:pt>
                <c:pt idx="109">
                  <c:v>11250</c:v>
                </c:pt>
                <c:pt idx="110">
                  <c:v>11250</c:v>
                </c:pt>
                <c:pt idx="111">
                  <c:v>11250</c:v>
                </c:pt>
                <c:pt idx="112">
                  <c:v>11250</c:v>
                </c:pt>
                <c:pt idx="113">
                  <c:v>0</c:v>
                </c:pt>
                <c:pt idx="114">
                  <c:v>0</c:v>
                </c:pt>
                <c:pt idx="115">
                  <c:v>6750</c:v>
                </c:pt>
                <c:pt idx="116">
                  <c:v>6750</c:v>
                </c:pt>
                <c:pt idx="117">
                  <c:v>6750</c:v>
                </c:pt>
                <c:pt idx="118">
                  <c:v>6750</c:v>
                </c:pt>
                <c:pt idx="119">
                  <c:v>6750</c:v>
                </c:pt>
                <c:pt idx="120">
                  <c:v>0</c:v>
                </c:pt>
                <c:pt idx="121">
                  <c:v>0</c:v>
                </c:pt>
                <c:pt idx="122">
                  <c:v>6750</c:v>
                </c:pt>
                <c:pt idx="123">
                  <c:v>6750</c:v>
                </c:pt>
                <c:pt idx="124">
                  <c:v>6750</c:v>
                </c:pt>
                <c:pt idx="125">
                  <c:v>6750</c:v>
                </c:pt>
                <c:pt idx="126">
                  <c:v>6750</c:v>
                </c:pt>
                <c:pt idx="127">
                  <c:v>0</c:v>
                </c:pt>
                <c:pt idx="128">
                  <c:v>0</c:v>
                </c:pt>
                <c:pt idx="129">
                  <c:v>2000</c:v>
                </c:pt>
                <c:pt idx="130">
                  <c:v>2000</c:v>
                </c:pt>
                <c:pt idx="131">
                  <c:v>2000</c:v>
                </c:pt>
                <c:pt idx="132">
                  <c:v>2000</c:v>
                </c:pt>
                <c:pt idx="133">
                  <c:v>2000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1-4E5A-AB7B-22331F510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64610895"/>
        <c:axId val="1764607055"/>
      </c:barChart>
      <c:lineChart>
        <c:grouping val="standard"/>
        <c:varyColors val="0"/>
        <c:ser>
          <c:idx val="1"/>
          <c:order val="1"/>
          <c:tx>
            <c:strRef>
              <c:f>Cashflow!$D$2</c:f>
              <c:strCache>
                <c:ptCount val="1"/>
                <c:pt idx="0">
                  <c:v> Cumulative Cost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Cashflow!$B$3:$B$153</c:f>
              <c:numCache>
                <c:formatCode>m/d/yyyy</c:formatCode>
                <c:ptCount val="151"/>
                <c:pt idx="0">
                  <c:v>46388</c:v>
                </c:pt>
                <c:pt idx="1">
                  <c:v>46389</c:v>
                </c:pt>
                <c:pt idx="2">
                  <c:v>46390</c:v>
                </c:pt>
                <c:pt idx="3">
                  <c:v>46391</c:v>
                </c:pt>
                <c:pt idx="4">
                  <c:v>46392</c:v>
                </c:pt>
                <c:pt idx="5">
                  <c:v>46393</c:v>
                </c:pt>
                <c:pt idx="6">
                  <c:v>46394</c:v>
                </c:pt>
                <c:pt idx="7">
                  <c:v>46395</c:v>
                </c:pt>
                <c:pt idx="8">
                  <c:v>46396</c:v>
                </c:pt>
                <c:pt idx="9">
                  <c:v>46397</c:v>
                </c:pt>
                <c:pt idx="10">
                  <c:v>46398</c:v>
                </c:pt>
                <c:pt idx="11">
                  <c:v>46399</c:v>
                </c:pt>
                <c:pt idx="12">
                  <c:v>46400</c:v>
                </c:pt>
                <c:pt idx="13">
                  <c:v>46401</c:v>
                </c:pt>
                <c:pt idx="14">
                  <c:v>46402</c:v>
                </c:pt>
                <c:pt idx="15">
                  <c:v>46403</c:v>
                </c:pt>
                <c:pt idx="16">
                  <c:v>46404</c:v>
                </c:pt>
                <c:pt idx="17">
                  <c:v>46405</c:v>
                </c:pt>
                <c:pt idx="18">
                  <c:v>46406</c:v>
                </c:pt>
                <c:pt idx="19">
                  <c:v>46407</c:v>
                </c:pt>
                <c:pt idx="20">
                  <c:v>46408</c:v>
                </c:pt>
                <c:pt idx="21">
                  <c:v>46409</c:v>
                </c:pt>
                <c:pt idx="22">
                  <c:v>46410</c:v>
                </c:pt>
                <c:pt idx="23">
                  <c:v>46411</c:v>
                </c:pt>
                <c:pt idx="24">
                  <c:v>46412</c:v>
                </c:pt>
                <c:pt idx="25">
                  <c:v>46413</c:v>
                </c:pt>
                <c:pt idx="26">
                  <c:v>46414</c:v>
                </c:pt>
                <c:pt idx="27">
                  <c:v>46415</c:v>
                </c:pt>
                <c:pt idx="28">
                  <c:v>46416</c:v>
                </c:pt>
                <c:pt idx="29">
                  <c:v>46417</c:v>
                </c:pt>
                <c:pt idx="30">
                  <c:v>46418</c:v>
                </c:pt>
                <c:pt idx="31">
                  <c:v>46419</c:v>
                </c:pt>
                <c:pt idx="32">
                  <c:v>46420</c:v>
                </c:pt>
                <c:pt idx="33">
                  <c:v>46421</c:v>
                </c:pt>
                <c:pt idx="34">
                  <c:v>46422</c:v>
                </c:pt>
                <c:pt idx="35">
                  <c:v>46423</c:v>
                </c:pt>
                <c:pt idx="36">
                  <c:v>46424</c:v>
                </c:pt>
                <c:pt idx="37">
                  <c:v>46425</c:v>
                </c:pt>
                <c:pt idx="38">
                  <c:v>46426</c:v>
                </c:pt>
                <c:pt idx="39">
                  <c:v>46427</c:v>
                </c:pt>
                <c:pt idx="40">
                  <c:v>46428</c:v>
                </c:pt>
                <c:pt idx="41">
                  <c:v>46429</c:v>
                </c:pt>
                <c:pt idx="42">
                  <c:v>46430</c:v>
                </c:pt>
                <c:pt idx="43">
                  <c:v>46431</c:v>
                </c:pt>
                <c:pt idx="44">
                  <c:v>46432</c:v>
                </c:pt>
                <c:pt idx="45">
                  <c:v>46433</c:v>
                </c:pt>
                <c:pt idx="46">
                  <c:v>46434</c:v>
                </c:pt>
                <c:pt idx="47">
                  <c:v>46435</c:v>
                </c:pt>
                <c:pt idx="48">
                  <c:v>46436</c:v>
                </c:pt>
                <c:pt idx="49">
                  <c:v>46437</c:v>
                </c:pt>
                <c:pt idx="50">
                  <c:v>46438</c:v>
                </c:pt>
                <c:pt idx="51">
                  <c:v>46439</c:v>
                </c:pt>
                <c:pt idx="52">
                  <c:v>46440</c:v>
                </c:pt>
                <c:pt idx="53">
                  <c:v>46441</c:v>
                </c:pt>
                <c:pt idx="54">
                  <c:v>46442</c:v>
                </c:pt>
                <c:pt idx="55">
                  <c:v>46443</c:v>
                </c:pt>
                <c:pt idx="56">
                  <c:v>46444</c:v>
                </c:pt>
                <c:pt idx="57">
                  <c:v>46445</c:v>
                </c:pt>
                <c:pt idx="58">
                  <c:v>46446</c:v>
                </c:pt>
                <c:pt idx="59">
                  <c:v>46447</c:v>
                </c:pt>
                <c:pt idx="60">
                  <c:v>46448</c:v>
                </c:pt>
                <c:pt idx="61">
                  <c:v>46449</c:v>
                </c:pt>
                <c:pt idx="62">
                  <c:v>46450</c:v>
                </c:pt>
                <c:pt idx="63">
                  <c:v>46451</c:v>
                </c:pt>
                <c:pt idx="64">
                  <c:v>46452</c:v>
                </c:pt>
                <c:pt idx="65">
                  <c:v>46453</c:v>
                </c:pt>
                <c:pt idx="66">
                  <c:v>46454</c:v>
                </c:pt>
                <c:pt idx="67">
                  <c:v>46455</c:v>
                </c:pt>
                <c:pt idx="68">
                  <c:v>46456</c:v>
                </c:pt>
                <c:pt idx="69">
                  <c:v>46457</c:v>
                </c:pt>
                <c:pt idx="70">
                  <c:v>46458</c:v>
                </c:pt>
                <c:pt idx="71">
                  <c:v>46459</c:v>
                </c:pt>
                <c:pt idx="72">
                  <c:v>46460</c:v>
                </c:pt>
                <c:pt idx="73">
                  <c:v>46461</c:v>
                </c:pt>
                <c:pt idx="74">
                  <c:v>46462</c:v>
                </c:pt>
                <c:pt idx="75">
                  <c:v>46463</c:v>
                </c:pt>
                <c:pt idx="76">
                  <c:v>46464</c:v>
                </c:pt>
                <c:pt idx="77">
                  <c:v>46465</c:v>
                </c:pt>
                <c:pt idx="78">
                  <c:v>46466</c:v>
                </c:pt>
                <c:pt idx="79">
                  <c:v>46467</c:v>
                </c:pt>
                <c:pt idx="80">
                  <c:v>46468</c:v>
                </c:pt>
                <c:pt idx="81">
                  <c:v>46469</c:v>
                </c:pt>
                <c:pt idx="82">
                  <c:v>46470</c:v>
                </c:pt>
                <c:pt idx="83">
                  <c:v>46471</c:v>
                </c:pt>
                <c:pt idx="84">
                  <c:v>46472</c:v>
                </c:pt>
                <c:pt idx="85">
                  <c:v>46473</c:v>
                </c:pt>
                <c:pt idx="86">
                  <c:v>46474</c:v>
                </c:pt>
                <c:pt idx="87">
                  <c:v>46475</c:v>
                </c:pt>
                <c:pt idx="88">
                  <c:v>46476</c:v>
                </c:pt>
                <c:pt idx="89">
                  <c:v>46477</c:v>
                </c:pt>
                <c:pt idx="90">
                  <c:v>46478</c:v>
                </c:pt>
                <c:pt idx="91">
                  <c:v>46479</c:v>
                </c:pt>
                <c:pt idx="92">
                  <c:v>46480</c:v>
                </c:pt>
                <c:pt idx="93">
                  <c:v>46481</c:v>
                </c:pt>
                <c:pt idx="94">
                  <c:v>46482</c:v>
                </c:pt>
                <c:pt idx="95">
                  <c:v>46483</c:v>
                </c:pt>
                <c:pt idx="96">
                  <c:v>46484</c:v>
                </c:pt>
                <c:pt idx="97">
                  <c:v>46485</c:v>
                </c:pt>
                <c:pt idx="98">
                  <c:v>46486</c:v>
                </c:pt>
                <c:pt idx="99">
                  <c:v>46487</c:v>
                </c:pt>
                <c:pt idx="100">
                  <c:v>46488</c:v>
                </c:pt>
                <c:pt idx="101">
                  <c:v>46489</c:v>
                </c:pt>
                <c:pt idx="102">
                  <c:v>46490</c:v>
                </c:pt>
                <c:pt idx="103">
                  <c:v>46491</c:v>
                </c:pt>
                <c:pt idx="104">
                  <c:v>46492</c:v>
                </c:pt>
                <c:pt idx="105">
                  <c:v>46493</c:v>
                </c:pt>
                <c:pt idx="106">
                  <c:v>46494</c:v>
                </c:pt>
                <c:pt idx="107">
                  <c:v>46495</c:v>
                </c:pt>
                <c:pt idx="108">
                  <c:v>46496</c:v>
                </c:pt>
                <c:pt idx="109">
                  <c:v>46497</c:v>
                </c:pt>
                <c:pt idx="110">
                  <c:v>46498</c:v>
                </c:pt>
                <c:pt idx="111">
                  <c:v>46499</c:v>
                </c:pt>
                <c:pt idx="112">
                  <c:v>46500</c:v>
                </c:pt>
                <c:pt idx="113">
                  <c:v>46501</c:v>
                </c:pt>
                <c:pt idx="114">
                  <c:v>46502</c:v>
                </c:pt>
                <c:pt idx="115">
                  <c:v>46503</c:v>
                </c:pt>
                <c:pt idx="116">
                  <c:v>46504</c:v>
                </c:pt>
                <c:pt idx="117">
                  <c:v>46505</c:v>
                </c:pt>
                <c:pt idx="118">
                  <c:v>46506</c:v>
                </c:pt>
                <c:pt idx="119">
                  <c:v>46507</c:v>
                </c:pt>
                <c:pt idx="120">
                  <c:v>46508</c:v>
                </c:pt>
                <c:pt idx="121">
                  <c:v>46509</c:v>
                </c:pt>
                <c:pt idx="122">
                  <c:v>46510</c:v>
                </c:pt>
                <c:pt idx="123">
                  <c:v>46511</c:v>
                </c:pt>
                <c:pt idx="124">
                  <c:v>46512</c:v>
                </c:pt>
                <c:pt idx="125">
                  <c:v>46513</c:v>
                </c:pt>
                <c:pt idx="126">
                  <c:v>46514</c:v>
                </c:pt>
                <c:pt idx="127">
                  <c:v>46515</c:v>
                </c:pt>
                <c:pt idx="128">
                  <c:v>46516</c:v>
                </c:pt>
                <c:pt idx="129">
                  <c:v>46517</c:v>
                </c:pt>
                <c:pt idx="130">
                  <c:v>46518</c:v>
                </c:pt>
                <c:pt idx="131">
                  <c:v>46519</c:v>
                </c:pt>
                <c:pt idx="132">
                  <c:v>46520</c:v>
                </c:pt>
                <c:pt idx="133">
                  <c:v>46521</c:v>
                </c:pt>
                <c:pt idx="134">
                  <c:v>46522</c:v>
                </c:pt>
                <c:pt idx="135">
                  <c:v>46523</c:v>
                </c:pt>
                <c:pt idx="136">
                  <c:v>46524</c:v>
                </c:pt>
                <c:pt idx="137">
                  <c:v>46525</c:v>
                </c:pt>
                <c:pt idx="138">
                  <c:v>46526</c:v>
                </c:pt>
                <c:pt idx="139">
                  <c:v>46527</c:v>
                </c:pt>
                <c:pt idx="140">
                  <c:v>46528</c:v>
                </c:pt>
                <c:pt idx="141">
                  <c:v>46529</c:v>
                </c:pt>
                <c:pt idx="142">
                  <c:v>46530</c:v>
                </c:pt>
                <c:pt idx="143">
                  <c:v>46531</c:v>
                </c:pt>
                <c:pt idx="144">
                  <c:v>46532</c:v>
                </c:pt>
                <c:pt idx="145">
                  <c:v>46533</c:v>
                </c:pt>
                <c:pt idx="146">
                  <c:v>46534</c:v>
                </c:pt>
                <c:pt idx="147">
                  <c:v>46535</c:v>
                </c:pt>
                <c:pt idx="148">
                  <c:v>46536</c:v>
                </c:pt>
                <c:pt idx="149">
                  <c:v>46537</c:v>
                </c:pt>
                <c:pt idx="150">
                  <c:v>46538</c:v>
                </c:pt>
              </c:numCache>
            </c:numRef>
          </c:cat>
          <c:val>
            <c:numRef>
              <c:f>Cashflow!$D$3:$D$153</c:f>
              <c:numCache>
                <c:formatCode>_("$"* #,##0.00_);_("$"* \(#,##0.00\);_("$"* "-"??_);_(@_)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2000</c:v>
                </c:pt>
                <c:pt idx="4">
                  <c:v>4000</c:v>
                </c:pt>
                <c:pt idx="5">
                  <c:v>6000</c:v>
                </c:pt>
                <c:pt idx="6">
                  <c:v>8000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12000</c:v>
                </c:pt>
                <c:pt idx="11">
                  <c:v>16500</c:v>
                </c:pt>
                <c:pt idx="12">
                  <c:v>21000</c:v>
                </c:pt>
                <c:pt idx="13">
                  <c:v>25500</c:v>
                </c:pt>
                <c:pt idx="14">
                  <c:v>30000</c:v>
                </c:pt>
                <c:pt idx="15">
                  <c:v>30000</c:v>
                </c:pt>
                <c:pt idx="16">
                  <c:v>30000</c:v>
                </c:pt>
                <c:pt idx="17">
                  <c:v>40250</c:v>
                </c:pt>
                <c:pt idx="18">
                  <c:v>50500</c:v>
                </c:pt>
                <c:pt idx="19">
                  <c:v>60750</c:v>
                </c:pt>
                <c:pt idx="20">
                  <c:v>71000</c:v>
                </c:pt>
                <c:pt idx="21">
                  <c:v>81250</c:v>
                </c:pt>
                <c:pt idx="22">
                  <c:v>81250</c:v>
                </c:pt>
                <c:pt idx="23">
                  <c:v>81250</c:v>
                </c:pt>
                <c:pt idx="24">
                  <c:v>86750</c:v>
                </c:pt>
                <c:pt idx="25">
                  <c:v>92250</c:v>
                </c:pt>
                <c:pt idx="26">
                  <c:v>97750</c:v>
                </c:pt>
                <c:pt idx="27">
                  <c:v>103250</c:v>
                </c:pt>
                <c:pt idx="28">
                  <c:v>108750</c:v>
                </c:pt>
                <c:pt idx="29">
                  <c:v>108750</c:v>
                </c:pt>
                <c:pt idx="30">
                  <c:v>108750</c:v>
                </c:pt>
                <c:pt idx="31">
                  <c:v>116250</c:v>
                </c:pt>
                <c:pt idx="32">
                  <c:v>123750</c:v>
                </c:pt>
                <c:pt idx="33">
                  <c:v>131250</c:v>
                </c:pt>
                <c:pt idx="34">
                  <c:v>138750</c:v>
                </c:pt>
                <c:pt idx="35">
                  <c:v>146250</c:v>
                </c:pt>
                <c:pt idx="36">
                  <c:v>146250</c:v>
                </c:pt>
                <c:pt idx="37">
                  <c:v>146250</c:v>
                </c:pt>
                <c:pt idx="38">
                  <c:v>153750</c:v>
                </c:pt>
                <c:pt idx="39">
                  <c:v>161250</c:v>
                </c:pt>
                <c:pt idx="40">
                  <c:v>168750</c:v>
                </c:pt>
                <c:pt idx="41">
                  <c:v>176250</c:v>
                </c:pt>
                <c:pt idx="42">
                  <c:v>183750</c:v>
                </c:pt>
                <c:pt idx="43">
                  <c:v>183750</c:v>
                </c:pt>
                <c:pt idx="44">
                  <c:v>183750</c:v>
                </c:pt>
                <c:pt idx="45">
                  <c:v>195000</c:v>
                </c:pt>
                <c:pt idx="46">
                  <c:v>206250</c:v>
                </c:pt>
                <c:pt idx="47">
                  <c:v>217500</c:v>
                </c:pt>
                <c:pt idx="48">
                  <c:v>228750</c:v>
                </c:pt>
                <c:pt idx="49">
                  <c:v>240000</c:v>
                </c:pt>
                <c:pt idx="50">
                  <c:v>240000</c:v>
                </c:pt>
                <c:pt idx="51">
                  <c:v>240000</c:v>
                </c:pt>
                <c:pt idx="52">
                  <c:v>251250</c:v>
                </c:pt>
                <c:pt idx="53">
                  <c:v>262500</c:v>
                </c:pt>
                <c:pt idx="54">
                  <c:v>273750</c:v>
                </c:pt>
                <c:pt idx="55">
                  <c:v>285000</c:v>
                </c:pt>
                <c:pt idx="56">
                  <c:v>296250</c:v>
                </c:pt>
                <c:pt idx="57">
                  <c:v>296250</c:v>
                </c:pt>
                <c:pt idx="58">
                  <c:v>296250</c:v>
                </c:pt>
                <c:pt idx="59">
                  <c:v>308500</c:v>
                </c:pt>
                <c:pt idx="60">
                  <c:v>320750</c:v>
                </c:pt>
                <c:pt idx="61">
                  <c:v>333000</c:v>
                </c:pt>
                <c:pt idx="62">
                  <c:v>345250</c:v>
                </c:pt>
                <c:pt idx="63">
                  <c:v>357500</c:v>
                </c:pt>
                <c:pt idx="64">
                  <c:v>357500</c:v>
                </c:pt>
                <c:pt idx="65">
                  <c:v>357500</c:v>
                </c:pt>
                <c:pt idx="66">
                  <c:v>377250</c:v>
                </c:pt>
                <c:pt idx="67">
                  <c:v>397000</c:v>
                </c:pt>
                <c:pt idx="68">
                  <c:v>416750</c:v>
                </c:pt>
                <c:pt idx="69">
                  <c:v>436500</c:v>
                </c:pt>
                <c:pt idx="70">
                  <c:v>456250</c:v>
                </c:pt>
                <c:pt idx="71">
                  <c:v>456250</c:v>
                </c:pt>
                <c:pt idx="72">
                  <c:v>456250</c:v>
                </c:pt>
                <c:pt idx="73">
                  <c:v>479000</c:v>
                </c:pt>
                <c:pt idx="74">
                  <c:v>501750</c:v>
                </c:pt>
                <c:pt idx="75">
                  <c:v>524500</c:v>
                </c:pt>
                <c:pt idx="76">
                  <c:v>547250</c:v>
                </c:pt>
                <c:pt idx="77">
                  <c:v>570000</c:v>
                </c:pt>
                <c:pt idx="78">
                  <c:v>570000</c:v>
                </c:pt>
                <c:pt idx="79">
                  <c:v>570000</c:v>
                </c:pt>
                <c:pt idx="80">
                  <c:v>589250</c:v>
                </c:pt>
                <c:pt idx="81">
                  <c:v>608500</c:v>
                </c:pt>
                <c:pt idx="82">
                  <c:v>627750</c:v>
                </c:pt>
                <c:pt idx="83">
                  <c:v>647000</c:v>
                </c:pt>
                <c:pt idx="84">
                  <c:v>666250</c:v>
                </c:pt>
                <c:pt idx="85">
                  <c:v>666250</c:v>
                </c:pt>
                <c:pt idx="86">
                  <c:v>666250</c:v>
                </c:pt>
                <c:pt idx="87">
                  <c:v>673000</c:v>
                </c:pt>
                <c:pt idx="88">
                  <c:v>679750</c:v>
                </c:pt>
                <c:pt idx="89">
                  <c:v>686500</c:v>
                </c:pt>
                <c:pt idx="90">
                  <c:v>693250</c:v>
                </c:pt>
                <c:pt idx="91">
                  <c:v>700000</c:v>
                </c:pt>
                <c:pt idx="92">
                  <c:v>700000</c:v>
                </c:pt>
                <c:pt idx="93">
                  <c:v>700000</c:v>
                </c:pt>
                <c:pt idx="94">
                  <c:v>706750</c:v>
                </c:pt>
                <c:pt idx="95">
                  <c:v>713500</c:v>
                </c:pt>
                <c:pt idx="96">
                  <c:v>720250</c:v>
                </c:pt>
                <c:pt idx="97">
                  <c:v>727000</c:v>
                </c:pt>
                <c:pt idx="98">
                  <c:v>733750</c:v>
                </c:pt>
                <c:pt idx="99">
                  <c:v>733750</c:v>
                </c:pt>
                <c:pt idx="100">
                  <c:v>733750</c:v>
                </c:pt>
                <c:pt idx="101">
                  <c:v>751000</c:v>
                </c:pt>
                <c:pt idx="102">
                  <c:v>768250</c:v>
                </c:pt>
                <c:pt idx="103">
                  <c:v>785500</c:v>
                </c:pt>
                <c:pt idx="104">
                  <c:v>802750</c:v>
                </c:pt>
                <c:pt idx="105">
                  <c:v>820000</c:v>
                </c:pt>
                <c:pt idx="106">
                  <c:v>820000</c:v>
                </c:pt>
                <c:pt idx="107">
                  <c:v>820000</c:v>
                </c:pt>
                <c:pt idx="108">
                  <c:v>831250</c:v>
                </c:pt>
                <c:pt idx="109">
                  <c:v>842500</c:v>
                </c:pt>
                <c:pt idx="110">
                  <c:v>853750</c:v>
                </c:pt>
                <c:pt idx="111">
                  <c:v>865000</c:v>
                </c:pt>
                <c:pt idx="112">
                  <c:v>876250</c:v>
                </c:pt>
                <c:pt idx="113">
                  <c:v>876250</c:v>
                </c:pt>
                <c:pt idx="114">
                  <c:v>876250</c:v>
                </c:pt>
                <c:pt idx="115">
                  <c:v>883000</c:v>
                </c:pt>
                <c:pt idx="116">
                  <c:v>889750</c:v>
                </c:pt>
                <c:pt idx="117">
                  <c:v>896500</c:v>
                </c:pt>
                <c:pt idx="118">
                  <c:v>903250</c:v>
                </c:pt>
                <c:pt idx="119">
                  <c:v>910000</c:v>
                </c:pt>
                <c:pt idx="120">
                  <c:v>910000</c:v>
                </c:pt>
                <c:pt idx="121">
                  <c:v>910000</c:v>
                </c:pt>
                <c:pt idx="122">
                  <c:v>916750</c:v>
                </c:pt>
                <c:pt idx="123">
                  <c:v>923500</c:v>
                </c:pt>
                <c:pt idx="124">
                  <c:v>930250</c:v>
                </c:pt>
                <c:pt idx="125">
                  <c:v>937000</c:v>
                </c:pt>
                <c:pt idx="126">
                  <c:v>943750</c:v>
                </c:pt>
                <c:pt idx="127">
                  <c:v>943750</c:v>
                </c:pt>
                <c:pt idx="128">
                  <c:v>943750</c:v>
                </c:pt>
                <c:pt idx="129">
                  <c:v>945750</c:v>
                </c:pt>
                <c:pt idx="130">
                  <c:v>947750</c:v>
                </c:pt>
                <c:pt idx="131">
                  <c:v>949750</c:v>
                </c:pt>
                <c:pt idx="132">
                  <c:v>951750</c:v>
                </c:pt>
                <c:pt idx="133">
                  <c:v>953750</c:v>
                </c:pt>
                <c:pt idx="134">
                  <c:v>953750</c:v>
                </c:pt>
                <c:pt idx="135">
                  <c:v>953750</c:v>
                </c:pt>
                <c:pt idx="136">
                  <c:v>953750</c:v>
                </c:pt>
                <c:pt idx="137">
                  <c:v>953750</c:v>
                </c:pt>
                <c:pt idx="138">
                  <c:v>953750</c:v>
                </c:pt>
                <c:pt idx="139">
                  <c:v>953750</c:v>
                </c:pt>
                <c:pt idx="140">
                  <c:v>953750</c:v>
                </c:pt>
                <c:pt idx="141">
                  <c:v>953750</c:v>
                </c:pt>
                <c:pt idx="142">
                  <c:v>953750</c:v>
                </c:pt>
                <c:pt idx="143">
                  <c:v>953750</c:v>
                </c:pt>
                <c:pt idx="144">
                  <c:v>953750</c:v>
                </c:pt>
                <c:pt idx="145">
                  <c:v>953750</c:v>
                </c:pt>
                <c:pt idx="146">
                  <c:v>953750</c:v>
                </c:pt>
                <c:pt idx="147">
                  <c:v>953750</c:v>
                </c:pt>
                <c:pt idx="148">
                  <c:v>953750</c:v>
                </c:pt>
                <c:pt idx="149">
                  <c:v>953750</c:v>
                </c:pt>
                <c:pt idx="150">
                  <c:v>953750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31-4E5A-AB7B-22331F510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4616655"/>
        <c:axId val="1764599855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Cashflow!$E$2</c15:sqref>
                        </c15:formulaRef>
                      </c:ext>
                    </c:extLst>
                    <c:strCache>
                      <c:ptCount val="1"/>
                      <c:pt idx="0">
                        <c:v>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Cashflow!$B$3:$B$153</c15:sqref>
                        </c15:formulaRef>
                      </c:ext>
                    </c:extLst>
                    <c:numCache>
                      <c:formatCode>m/d/yyyy</c:formatCode>
                      <c:ptCount val="151"/>
                      <c:pt idx="0">
                        <c:v>46388</c:v>
                      </c:pt>
                      <c:pt idx="1">
                        <c:v>46389</c:v>
                      </c:pt>
                      <c:pt idx="2">
                        <c:v>46390</c:v>
                      </c:pt>
                      <c:pt idx="3">
                        <c:v>46391</c:v>
                      </c:pt>
                      <c:pt idx="4">
                        <c:v>46392</c:v>
                      </c:pt>
                      <c:pt idx="5">
                        <c:v>46393</c:v>
                      </c:pt>
                      <c:pt idx="6">
                        <c:v>46394</c:v>
                      </c:pt>
                      <c:pt idx="7">
                        <c:v>46395</c:v>
                      </c:pt>
                      <c:pt idx="8">
                        <c:v>46396</c:v>
                      </c:pt>
                      <c:pt idx="9">
                        <c:v>46397</c:v>
                      </c:pt>
                      <c:pt idx="10">
                        <c:v>46398</c:v>
                      </c:pt>
                      <c:pt idx="11">
                        <c:v>46399</c:v>
                      </c:pt>
                      <c:pt idx="12">
                        <c:v>46400</c:v>
                      </c:pt>
                      <c:pt idx="13">
                        <c:v>46401</c:v>
                      </c:pt>
                      <c:pt idx="14">
                        <c:v>46402</c:v>
                      </c:pt>
                      <c:pt idx="15">
                        <c:v>46403</c:v>
                      </c:pt>
                      <c:pt idx="16">
                        <c:v>46404</c:v>
                      </c:pt>
                      <c:pt idx="17">
                        <c:v>46405</c:v>
                      </c:pt>
                      <c:pt idx="18">
                        <c:v>46406</c:v>
                      </c:pt>
                      <c:pt idx="19">
                        <c:v>46407</c:v>
                      </c:pt>
                      <c:pt idx="20">
                        <c:v>46408</c:v>
                      </c:pt>
                      <c:pt idx="21">
                        <c:v>46409</c:v>
                      </c:pt>
                      <c:pt idx="22">
                        <c:v>46410</c:v>
                      </c:pt>
                      <c:pt idx="23">
                        <c:v>46411</c:v>
                      </c:pt>
                      <c:pt idx="24">
                        <c:v>46412</c:v>
                      </c:pt>
                      <c:pt idx="25">
                        <c:v>46413</c:v>
                      </c:pt>
                      <c:pt idx="26">
                        <c:v>46414</c:v>
                      </c:pt>
                      <c:pt idx="27">
                        <c:v>46415</c:v>
                      </c:pt>
                      <c:pt idx="28">
                        <c:v>46416</c:v>
                      </c:pt>
                      <c:pt idx="29">
                        <c:v>46417</c:v>
                      </c:pt>
                      <c:pt idx="30">
                        <c:v>46418</c:v>
                      </c:pt>
                      <c:pt idx="31">
                        <c:v>46419</c:v>
                      </c:pt>
                      <c:pt idx="32">
                        <c:v>46420</c:v>
                      </c:pt>
                      <c:pt idx="33">
                        <c:v>46421</c:v>
                      </c:pt>
                      <c:pt idx="34">
                        <c:v>46422</c:v>
                      </c:pt>
                      <c:pt idx="35">
                        <c:v>46423</c:v>
                      </c:pt>
                      <c:pt idx="36">
                        <c:v>46424</c:v>
                      </c:pt>
                      <c:pt idx="37">
                        <c:v>46425</c:v>
                      </c:pt>
                      <c:pt idx="38">
                        <c:v>46426</c:v>
                      </c:pt>
                      <c:pt idx="39">
                        <c:v>46427</c:v>
                      </c:pt>
                      <c:pt idx="40">
                        <c:v>46428</c:v>
                      </c:pt>
                      <c:pt idx="41">
                        <c:v>46429</c:v>
                      </c:pt>
                      <c:pt idx="42">
                        <c:v>46430</c:v>
                      </c:pt>
                      <c:pt idx="43">
                        <c:v>46431</c:v>
                      </c:pt>
                      <c:pt idx="44">
                        <c:v>46432</c:v>
                      </c:pt>
                      <c:pt idx="45">
                        <c:v>46433</c:v>
                      </c:pt>
                      <c:pt idx="46">
                        <c:v>46434</c:v>
                      </c:pt>
                      <c:pt idx="47">
                        <c:v>46435</c:v>
                      </c:pt>
                      <c:pt idx="48">
                        <c:v>46436</c:v>
                      </c:pt>
                      <c:pt idx="49">
                        <c:v>46437</c:v>
                      </c:pt>
                      <c:pt idx="50">
                        <c:v>46438</c:v>
                      </c:pt>
                      <c:pt idx="51">
                        <c:v>46439</c:v>
                      </c:pt>
                      <c:pt idx="52">
                        <c:v>46440</c:v>
                      </c:pt>
                      <c:pt idx="53">
                        <c:v>46441</c:v>
                      </c:pt>
                      <c:pt idx="54">
                        <c:v>46442</c:v>
                      </c:pt>
                      <c:pt idx="55">
                        <c:v>46443</c:v>
                      </c:pt>
                      <c:pt idx="56">
                        <c:v>46444</c:v>
                      </c:pt>
                      <c:pt idx="57">
                        <c:v>46445</c:v>
                      </c:pt>
                      <c:pt idx="58">
                        <c:v>46446</c:v>
                      </c:pt>
                      <c:pt idx="59">
                        <c:v>46447</c:v>
                      </c:pt>
                      <c:pt idx="60">
                        <c:v>46448</c:v>
                      </c:pt>
                      <c:pt idx="61">
                        <c:v>46449</c:v>
                      </c:pt>
                      <c:pt idx="62">
                        <c:v>46450</c:v>
                      </c:pt>
                      <c:pt idx="63">
                        <c:v>46451</c:v>
                      </c:pt>
                      <c:pt idx="64">
                        <c:v>46452</c:v>
                      </c:pt>
                      <c:pt idx="65">
                        <c:v>46453</c:v>
                      </c:pt>
                      <c:pt idx="66">
                        <c:v>46454</c:v>
                      </c:pt>
                      <c:pt idx="67">
                        <c:v>46455</c:v>
                      </c:pt>
                      <c:pt idx="68">
                        <c:v>46456</c:v>
                      </c:pt>
                      <c:pt idx="69">
                        <c:v>46457</c:v>
                      </c:pt>
                      <c:pt idx="70">
                        <c:v>46458</c:v>
                      </c:pt>
                      <c:pt idx="71">
                        <c:v>46459</c:v>
                      </c:pt>
                      <c:pt idx="72">
                        <c:v>46460</c:v>
                      </c:pt>
                      <c:pt idx="73">
                        <c:v>46461</c:v>
                      </c:pt>
                      <c:pt idx="74">
                        <c:v>46462</c:v>
                      </c:pt>
                      <c:pt idx="75">
                        <c:v>46463</c:v>
                      </c:pt>
                      <c:pt idx="76">
                        <c:v>46464</c:v>
                      </c:pt>
                      <c:pt idx="77">
                        <c:v>46465</c:v>
                      </c:pt>
                      <c:pt idx="78">
                        <c:v>46466</c:v>
                      </c:pt>
                      <c:pt idx="79">
                        <c:v>46467</c:v>
                      </c:pt>
                      <c:pt idx="80">
                        <c:v>46468</c:v>
                      </c:pt>
                      <c:pt idx="81">
                        <c:v>46469</c:v>
                      </c:pt>
                      <c:pt idx="82">
                        <c:v>46470</c:v>
                      </c:pt>
                      <c:pt idx="83">
                        <c:v>46471</c:v>
                      </c:pt>
                      <c:pt idx="84">
                        <c:v>46472</c:v>
                      </c:pt>
                      <c:pt idx="85">
                        <c:v>46473</c:v>
                      </c:pt>
                      <c:pt idx="86">
                        <c:v>46474</c:v>
                      </c:pt>
                      <c:pt idx="87">
                        <c:v>46475</c:v>
                      </c:pt>
                      <c:pt idx="88">
                        <c:v>46476</c:v>
                      </c:pt>
                      <c:pt idx="89">
                        <c:v>46477</c:v>
                      </c:pt>
                      <c:pt idx="90">
                        <c:v>46478</c:v>
                      </c:pt>
                      <c:pt idx="91">
                        <c:v>46479</c:v>
                      </c:pt>
                      <c:pt idx="92">
                        <c:v>46480</c:v>
                      </c:pt>
                      <c:pt idx="93">
                        <c:v>46481</c:v>
                      </c:pt>
                      <c:pt idx="94">
                        <c:v>46482</c:v>
                      </c:pt>
                      <c:pt idx="95">
                        <c:v>46483</c:v>
                      </c:pt>
                      <c:pt idx="96">
                        <c:v>46484</c:v>
                      </c:pt>
                      <c:pt idx="97">
                        <c:v>46485</c:v>
                      </c:pt>
                      <c:pt idx="98">
                        <c:v>46486</c:v>
                      </c:pt>
                      <c:pt idx="99">
                        <c:v>46487</c:v>
                      </c:pt>
                      <c:pt idx="100">
                        <c:v>46488</c:v>
                      </c:pt>
                      <c:pt idx="101">
                        <c:v>46489</c:v>
                      </c:pt>
                      <c:pt idx="102">
                        <c:v>46490</c:v>
                      </c:pt>
                      <c:pt idx="103">
                        <c:v>46491</c:v>
                      </c:pt>
                      <c:pt idx="104">
                        <c:v>46492</c:v>
                      </c:pt>
                      <c:pt idx="105">
                        <c:v>46493</c:v>
                      </c:pt>
                      <c:pt idx="106">
                        <c:v>46494</c:v>
                      </c:pt>
                      <c:pt idx="107">
                        <c:v>46495</c:v>
                      </c:pt>
                      <c:pt idx="108">
                        <c:v>46496</c:v>
                      </c:pt>
                      <c:pt idx="109">
                        <c:v>46497</c:v>
                      </c:pt>
                      <c:pt idx="110">
                        <c:v>46498</c:v>
                      </c:pt>
                      <c:pt idx="111">
                        <c:v>46499</c:v>
                      </c:pt>
                      <c:pt idx="112">
                        <c:v>46500</c:v>
                      </c:pt>
                      <c:pt idx="113">
                        <c:v>46501</c:v>
                      </c:pt>
                      <c:pt idx="114">
                        <c:v>46502</c:v>
                      </c:pt>
                      <c:pt idx="115">
                        <c:v>46503</c:v>
                      </c:pt>
                      <c:pt idx="116">
                        <c:v>46504</c:v>
                      </c:pt>
                      <c:pt idx="117">
                        <c:v>46505</c:v>
                      </c:pt>
                      <c:pt idx="118">
                        <c:v>46506</c:v>
                      </c:pt>
                      <c:pt idx="119">
                        <c:v>46507</c:v>
                      </c:pt>
                      <c:pt idx="120">
                        <c:v>46508</c:v>
                      </c:pt>
                      <c:pt idx="121">
                        <c:v>46509</c:v>
                      </c:pt>
                      <c:pt idx="122">
                        <c:v>46510</c:v>
                      </c:pt>
                      <c:pt idx="123">
                        <c:v>46511</c:v>
                      </c:pt>
                      <c:pt idx="124">
                        <c:v>46512</c:v>
                      </c:pt>
                      <c:pt idx="125">
                        <c:v>46513</c:v>
                      </c:pt>
                      <c:pt idx="126">
                        <c:v>46514</c:v>
                      </c:pt>
                      <c:pt idx="127">
                        <c:v>46515</c:v>
                      </c:pt>
                      <c:pt idx="128">
                        <c:v>46516</c:v>
                      </c:pt>
                      <c:pt idx="129">
                        <c:v>46517</c:v>
                      </c:pt>
                      <c:pt idx="130">
                        <c:v>46518</c:v>
                      </c:pt>
                      <c:pt idx="131">
                        <c:v>46519</c:v>
                      </c:pt>
                      <c:pt idx="132">
                        <c:v>46520</c:v>
                      </c:pt>
                      <c:pt idx="133">
                        <c:v>46521</c:v>
                      </c:pt>
                      <c:pt idx="134">
                        <c:v>46522</c:v>
                      </c:pt>
                      <c:pt idx="135">
                        <c:v>46523</c:v>
                      </c:pt>
                      <c:pt idx="136">
                        <c:v>46524</c:v>
                      </c:pt>
                      <c:pt idx="137">
                        <c:v>46525</c:v>
                      </c:pt>
                      <c:pt idx="138">
                        <c:v>46526</c:v>
                      </c:pt>
                      <c:pt idx="139">
                        <c:v>46527</c:v>
                      </c:pt>
                      <c:pt idx="140">
                        <c:v>46528</c:v>
                      </c:pt>
                      <c:pt idx="141">
                        <c:v>46529</c:v>
                      </c:pt>
                      <c:pt idx="142">
                        <c:v>46530</c:v>
                      </c:pt>
                      <c:pt idx="143">
                        <c:v>46531</c:v>
                      </c:pt>
                      <c:pt idx="144">
                        <c:v>46532</c:v>
                      </c:pt>
                      <c:pt idx="145">
                        <c:v>46533</c:v>
                      </c:pt>
                      <c:pt idx="146">
                        <c:v>46534</c:v>
                      </c:pt>
                      <c:pt idx="147">
                        <c:v>46535</c:v>
                      </c:pt>
                      <c:pt idx="148">
                        <c:v>46536</c:v>
                      </c:pt>
                      <c:pt idx="149">
                        <c:v>46537</c:v>
                      </c:pt>
                      <c:pt idx="150">
                        <c:v>46538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Cashflow!$E$3:$E$153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  <c:pt idx="37">
                        <c:v>2</c:v>
                      </c:pt>
                      <c:pt idx="38">
                        <c:v>2</c:v>
                      </c:pt>
                      <c:pt idx="39">
                        <c:v>2</c:v>
                      </c:pt>
                      <c:pt idx="40">
                        <c:v>2</c:v>
                      </c:pt>
                      <c:pt idx="41">
                        <c:v>2</c:v>
                      </c:pt>
                      <c:pt idx="42">
                        <c:v>2</c:v>
                      </c:pt>
                      <c:pt idx="43">
                        <c:v>2</c:v>
                      </c:pt>
                      <c:pt idx="44">
                        <c:v>2</c:v>
                      </c:pt>
                      <c:pt idx="45">
                        <c:v>2</c:v>
                      </c:pt>
                      <c:pt idx="46">
                        <c:v>2</c:v>
                      </c:pt>
                      <c:pt idx="47">
                        <c:v>2</c:v>
                      </c:pt>
                      <c:pt idx="48">
                        <c:v>2</c:v>
                      </c:pt>
                      <c:pt idx="49">
                        <c:v>2</c:v>
                      </c:pt>
                      <c:pt idx="50">
                        <c:v>2</c:v>
                      </c:pt>
                      <c:pt idx="51">
                        <c:v>2</c:v>
                      </c:pt>
                      <c:pt idx="52">
                        <c:v>2</c:v>
                      </c:pt>
                      <c:pt idx="53">
                        <c:v>2</c:v>
                      </c:pt>
                      <c:pt idx="54">
                        <c:v>2</c:v>
                      </c:pt>
                      <c:pt idx="55">
                        <c:v>2</c:v>
                      </c:pt>
                      <c:pt idx="56">
                        <c:v>2</c:v>
                      </c:pt>
                      <c:pt idx="57">
                        <c:v>2</c:v>
                      </c:pt>
                      <c:pt idx="58">
                        <c:v>2</c:v>
                      </c:pt>
                      <c:pt idx="59">
                        <c:v>3</c:v>
                      </c:pt>
                      <c:pt idx="60">
                        <c:v>3</c:v>
                      </c:pt>
                      <c:pt idx="61">
                        <c:v>3</c:v>
                      </c:pt>
                      <c:pt idx="62">
                        <c:v>3</c:v>
                      </c:pt>
                      <c:pt idx="63">
                        <c:v>3</c:v>
                      </c:pt>
                      <c:pt idx="64">
                        <c:v>3</c:v>
                      </c:pt>
                      <c:pt idx="65">
                        <c:v>3</c:v>
                      </c:pt>
                      <c:pt idx="66">
                        <c:v>3</c:v>
                      </c:pt>
                      <c:pt idx="67">
                        <c:v>3</c:v>
                      </c:pt>
                      <c:pt idx="68">
                        <c:v>3</c:v>
                      </c:pt>
                      <c:pt idx="69">
                        <c:v>3</c:v>
                      </c:pt>
                      <c:pt idx="70">
                        <c:v>3</c:v>
                      </c:pt>
                      <c:pt idx="71">
                        <c:v>3</c:v>
                      </c:pt>
                      <c:pt idx="72">
                        <c:v>3</c:v>
                      </c:pt>
                      <c:pt idx="73">
                        <c:v>3</c:v>
                      </c:pt>
                      <c:pt idx="74">
                        <c:v>3</c:v>
                      </c:pt>
                      <c:pt idx="75">
                        <c:v>3</c:v>
                      </c:pt>
                      <c:pt idx="76">
                        <c:v>3</c:v>
                      </c:pt>
                      <c:pt idx="77">
                        <c:v>3</c:v>
                      </c:pt>
                      <c:pt idx="78">
                        <c:v>3</c:v>
                      </c:pt>
                      <c:pt idx="79">
                        <c:v>3</c:v>
                      </c:pt>
                      <c:pt idx="80">
                        <c:v>3</c:v>
                      </c:pt>
                      <c:pt idx="81">
                        <c:v>3</c:v>
                      </c:pt>
                      <c:pt idx="82">
                        <c:v>3</c:v>
                      </c:pt>
                      <c:pt idx="83">
                        <c:v>3</c:v>
                      </c:pt>
                      <c:pt idx="84">
                        <c:v>3</c:v>
                      </c:pt>
                      <c:pt idx="85">
                        <c:v>3</c:v>
                      </c:pt>
                      <c:pt idx="86">
                        <c:v>3</c:v>
                      </c:pt>
                      <c:pt idx="87">
                        <c:v>3</c:v>
                      </c:pt>
                      <c:pt idx="88">
                        <c:v>3</c:v>
                      </c:pt>
                      <c:pt idx="89">
                        <c:v>3</c:v>
                      </c:pt>
                      <c:pt idx="90">
                        <c:v>4</c:v>
                      </c:pt>
                      <c:pt idx="91">
                        <c:v>4</c:v>
                      </c:pt>
                      <c:pt idx="92">
                        <c:v>4</c:v>
                      </c:pt>
                      <c:pt idx="93">
                        <c:v>4</c:v>
                      </c:pt>
                      <c:pt idx="94">
                        <c:v>4</c:v>
                      </c:pt>
                      <c:pt idx="95">
                        <c:v>4</c:v>
                      </c:pt>
                      <c:pt idx="96">
                        <c:v>4</c:v>
                      </c:pt>
                      <c:pt idx="97">
                        <c:v>4</c:v>
                      </c:pt>
                      <c:pt idx="98">
                        <c:v>4</c:v>
                      </c:pt>
                      <c:pt idx="99">
                        <c:v>4</c:v>
                      </c:pt>
                      <c:pt idx="100">
                        <c:v>4</c:v>
                      </c:pt>
                      <c:pt idx="101">
                        <c:v>4</c:v>
                      </c:pt>
                      <c:pt idx="102">
                        <c:v>4</c:v>
                      </c:pt>
                      <c:pt idx="103">
                        <c:v>4</c:v>
                      </c:pt>
                      <c:pt idx="104">
                        <c:v>4</c:v>
                      </c:pt>
                      <c:pt idx="105">
                        <c:v>4</c:v>
                      </c:pt>
                      <c:pt idx="106">
                        <c:v>4</c:v>
                      </c:pt>
                      <c:pt idx="107">
                        <c:v>4</c:v>
                      </c:pt>
                      <c:pt idx="108">
                        <c:v>4</c:v>
                      </c:pt>
                      <c:pt idx="109">
                        <c:v>4</c:v>
                      </c:pt>
                      <c:pt idx="110">
                        <c:v>4</c:v>
                      </c:pt>
                      <c:pt idx="111">
                        <c:v>4</c:v>
                      </c:pt>
                      <c:pt idx="112">
                        <c:v>4</c:v>
                      </c:pt>
                      <c:pt idx="113">
                        <c:v>4</c:v>
                      </c:pt>
                      <c:pt idx="114">
                        <c:v>4</c:v>
                      </c:pt>
                      <c:pt idx="115">
                        <c:v>4</c:v>
                      </c:pt>
                      <c:pt idx="116">
                        <c:v>4</c:v>
                      </c:pt>
                      <c:pt idx="117">
                        <c:v>4</c:v>
                      </c:pt>
                      <c:pt idx="118">
                        <c:v>4</c:v>
                      </c:pt>
                      <c:pt idx="119">
                        <c:v>4</c:v>
                      </c:pt>
                      <c:pt idx="120">
                        <c:v>5</c:v>
                      </c:pt>
                      <c:pt idx="121">
                        <c:v>5</c:v>
                      </c:pt>
                      <c:pt idx="122">
                        <c:v>5</c:v>
                      </c:pt>
                      <c:pt idx="123">
                        <c:v>5</c:v>
                      </c:pt>
                      <c:pt idx="124">
                        <c:v>5</c:v>
                      </c:pt>
                      <c:pt idx="125">
                        <c:v>5</c:v>
                      </c:pt>
                      <c:pt idx="126">
                        <c:v>5</c:v>
                      </c:pt>
                      <c:pt idx="127">
                        <c:v>5</c:v>
                      </c:pt>
                      <c:pt idx="128">
                        <c:v>5</c:v>
                      </c:pt>
                      <c:pt idx="129">
                        <c:v>5</c:v>
                      </c:pt>
                      <c:pt idx="130">
                        <c:v>5</c:v>
                      </c:pt>
                      <c:pt idx="131">
                        <c:v>5</c:v>
                      </c:pt>
                      <c:pt idx="132">
                        <c:v>5</c:v>
                      </c:pt>
                      <c:pt idx="133">
                        <c:v>5</c:v>
                      </c:pt>
                      <c:pt idx="134">
                        <c:v>5</c:v>
                      </c:pt>
                      <c:pt idx="135">
                        <c:v>5</c:v>
                      </c:pt>
                      <c:pt idx="136">
                        <c:v>5</c:v>
                      </c:pt>
                      <c:pt idx="137">
                        <c:v>5</c:v>
                      </c:pt>
                      <c:pt idx="138">
                        <c:v>5</c:v>
                      </c:pt>
                      <c:pt idx="139">
                        <c:v>5</c:v>
                      </c:pt>
                      <c:pt idx="140">
                        <c:v>5</c:v>
                      </c:pt>
                      <c:pt idx="141">
                        <c:v>5</c:v>
                      </c:pt>
                      <c:pt idx="142">
                        <c:v>5</c:v>
                      </c:pt>
                      <c:pt idx="143">
                        <c:v>5</c:v>
                      </c:pt>
                      <c:pt idx="144">
                        <c:v>5</c:v>
                      </c:pt>
                      <c:pt idx="145">
                        <c:v>5</c:v>
                      </c:pt>
                      <c:pt idx="146">
                        <c:v>5</c:v>
                      </c:pt>
                      <c:pt idx="147">
                        <c:v>5</c:v>
                      </c:pt>
                      <c:pt idx="148">
                        <c:v>5</c:v>
                      </c:pt>
                      <c:pt idx="149">
                        <c:v>5</c:v>
                      </c:pt>
                      <c:pt idx="150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E31-4E5A-AB7B-22331F5107CF}"/>
                  </c:ext>
                </c:extLst>
              </c15:ser>
            </c15:filteredLineSeries>
          </c:ext>
        </c:extLst>
      </c:lineChart>
      <c:dateAx>
        <c:axId val="17646108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607055"/>
        <c:crosses val="autoZero"/>
        <c:auto val="1"/>
        <c:lblOffset val="100"/>
        <c:baseTimeUnit val="days"/>
      </c:dateAx>
      <c:valAx>
        <c:axId val="176460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610895"/>
        <c:crosses val="autoZero"/>
        <c:crossBetween val="between"/>
      </c:valAx>
      <c:valAx>
        <c:axId val="1764599855"/>
        <c:scaling>
          <c:orientation val="minMax"/>
        </c:scaling>
        <c:delete val="0"/>
        <c:axPos val="r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616655"/>
        <c:crosses val="max"/>
        <c:crossBetween val="between"/>
      </c:valAx>
      <c:dateAx>
        <c:axId val="176461665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64599855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Cashflow!$J$2</c:f>
              <c:strCache>
                <c:ptCount val="1"/>
                <c:pt idx="0">
                  <c:v> Monthly Cost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Cashflow!$J$3:$J$7</c:f>
              <c:numCache>
                <c:formatCode>_("$"* #,##0.00_);_("$"* \(#,##0.00\);_("$"* "-"??_);_(@_)</c:formatCode>
                <c:ptCount val="5"/>
                <c:pt idx="0">
                  <c:v>108750</c:v>
                </c:pt>
                <c:pt idx="1">
                  <c:v>187500</c:v>
                </c:pt>
                <c:pt idx="2">
                  <c:v>390250</c:v>
                </c:pt>
                <c:pt idx="3">
                  <c:v>223500</c:v>
                </c:pt>
                <c:pt idx="4">
                  <c:v>43750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9F-4232-9E8B-64815BD26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64631055"/>
        <c:axId val="17646300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Cashflow!$I$2</c15:sqref>
                        </c15:formulaRef>
                      </c:ext>
                    </c:extLst>
                    <c:strCache>
                      <c:ptCount val="1"/>
                      <c:pt idx="0">
                        <c:v>Month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Cashflow!$I$3:$I$7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F9F-4232-9E8B-64815BD2657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Cashflow!$K$2</c:f>
              <c:strCache>
                <c:ptCount val="1"/>
                <c:pt idx="0">
                  <c:v> Cumulative Cost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Cashflow!$K$3:$K$7</c:f>
              <c:numCache>
                <c:formatCode>_("$"* #,##0.00_);_("$"* \(#,##0.00\);_("$"* "-"??_);_(@_)</c:formatCode>
                <c:ptCount val="5"/>
                <c:pt idx="0">
                  <c:v>108750</c:v>
                </c:pt>
                <c:pt idx="1">
                  <c:v>296250</c:v>
                </c:pt>
                <c:pt idx="2">
                  <c:v>686500</c:v>
                </c:pt>
                <c:pt idx="3">
                  <c:v>910000</c:v>
                </c:pt>
                <c:pt idx="4">
                  <c:v>953750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9F-4232-9E8B-64815BD26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2868704"/>
        <c:axId val="732868224"/>
      </c:lineChart>
      <c:catAx>
        <c:axId val="1764631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630095"/>
        <c:crosses val="autoZero"/>
        <c:auto val="1"/>
        <c:lblAlgn val="ctr"/>
        <c:lblOffset val="100"/>
        <c:noMultiLvlLbl val="0"/>
      </c:catAx>
      <c:valAx>
        <c:axId val="176463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631055"/>
        <c:crosses val="autoZero"/>
        <c:crossBetween val="between"/>
      </c:valAx>
      <c:valAx>
        <c:axId val="732868224"/>
        <c:scaling>
          <c:orientation val="minMax"/>
        </c:scaling>
        <c:delete val="0"/>
        <c:axPos val="r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868704"/>
        <c:crosses val="max"/>
        <c:crossBetween val="between"/>
      </c:valAx>
      <c:catAx>
        <c:axId val="732868704"/>
        <c:scaling>
          <c:orientation val="minMax"/>
        </c:scaling>
        <c:delete val="1"/>
        <c:axPos val="b"/>
        <c:majorTickMark val="out"/>
        <c:minorTickMark val="none"/>
        <c:tickLblPos val="nextTo"/>
        <c:crossAx val="7328682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416070</xdr:colOff>
      <xdr:row>18</xdr:row>
      <xdr:rowOff>30690</xdr:rowOff>
    </xdr:from>
    <xdr:to>
      <xdr:col>6</xdr:col>
      <xdr:colOff>416430</xdr:colOff>
      <xdr:row>18</xdr:row>
      <xdr:rowOff>31050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8050516-316D-D0FF-E7DB-7731C044D99B}"/>
                </a:ext>
              </a:extLst>
            </xdr14:cNvPr>
            <xdr14:cNvContentPartPr/>
          </xdr14:nvContentPartPr>
          <xdr14:nvPr macro=""/>
          <xdr14:xfrm>
            <a:off x="4930920" y="3288240"/>
            <a:ext cx="360" cy="3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8050516-316D-D0FF-E7DB-7731C044D99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926600" y="328392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2380</xdr:colOff>
      <xdr:row>1</xdr:row>
      <xdr:rowOff>4761</xdr:rowOff>
    </xdr:from>
    <xdr:to>
      <xdr:col>25</xdr:col>
      <xdr:colOff>14288</xdr:colOff>
      <xdr:row>27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E394FD-EE94-5125-C8E9-365CE933E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640555</xdr:colOff>
      <xdr:row>28</xdr:row>
      <xdr:rowOff>28574</xdr:rowOff>
    </xdr:from>
    <xdr:to>
      <xdr:col>25</xdr:col>
      <xdr:colOff>23812</xdr:colOff>
      <xdr:row>49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F13EAB-F1CC-7DDB-568C-363E3885B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3T22:20:49.9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1 0 32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ABC9D3-0FCD-4028-95A8-484265477321}" name="schedule" displayName="schedule" ref="B2:H19" totalsRowShown="0">
  <autoFilter ref="B2:H19" xr:uid="{C5ABC9D3-0FCD-4028-95A8-484265477321}"/>
  <tableColumns count="7">
    <tableColumn id="1" xr3:uid="{E6FAD2B4-A754-41CD-9BFD-C33F591EE8EF}" name="WBS" dataDxfId="6"/>
    <tableColumn id="2" xr3:uid="{6A68DC5C-5D4A-41C6-A998-2F9C3F4B0CED}" name="Division"/>
    <tableColumn id="3" xr3:uid="{8FE89C1D-53CE-4B1B-A175-023715DC2EE2}" name="Duration"/>
    <tableColumn id="4" xr3:uid="{1E861532-5B6D-4C7E-B9EE-0A5358D94D65}" name="Start Date" dataDxfId="5"/>
    <tableColumn id="5" xr3:uid="{0AD23B9C-C243-4723-8E66-12CB6C9577BF}" name="Finish Date" dataDxfId="4"/>
    <tableColumn id="6" xr3:uid="{188F19A8-E810-4BF6-B0E8-A465358E6CF3}" name="Budget" dataDxfId="3" dataCellStyle="Currency"/>
    <tableColumn id="7" xr3:uid="{A589E385-4F10-4035-933F-32064AA9745F}" name="Cost per Day" dataCellStyle="Currency">
      <calculatedColumnFormula>IF(ISBLANK(schedule[[#This Row],[Duration]]), "", schedule[[#This Row],[Budget]]/schedule[[#This Row],[Duration]])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FCF1D3-63B1-4FF4-BF09-7DF55D33535D}" name="day_cash" displayName="day_cash" ref="B2:E153" totalsRowShown="0">
  <autoFilter ref="B2:E153" xr:uid="{DEFCF1D3-63B1-4FF4-BF09-7DF55D33535D}"/>
  <tableColumns count="4">
    <tableColumn id="1" xr3:uid="{FB367E37-00EE-42EA-BDC9-44A219A2B9B0}" name="Date" dataDxfId="2"/>
    <tableColumn id="2" xr3:uid="{ECFD653B-2082-44B5-95E5-F2C231363E92}" name="Daily Cost" dataCellStyle="Currency">
      <calculatedColumnFormula>IF((WORKDAY(day_cash[[#This Row],[Date]]-1, 1)=day_cash[[#This Row],[Date]])=TRUE, (SUMIFS(schedule[Cost per Day], schedule[Start Date],"&lt;="&amp;day_cash[[#This Row],[Date]], schedule[Finish Date],"&gt;="&amp;day_cash[[#This Row],[Date]])), 0)</calculatedColumnFormula>
    </tableColumn>
    <tableColumn id="3" xr3:uid="{C4D512A9-9FFB-40AE-858D-D6CE1EAA758A}" name="Cumulative Cost" dataCellStyle="Currency">
      <calculatedColumnFormula>IFERROR(day_cash[[#This Row],[Daily Cost]]+D2, 0)</calculatedColumnFormula>
    </tableColumn>
    <tableColumn id="4" xr3:uid="{9BDDA116-A2E1-494C-B1AD-2B529D95D6CF}" name="Month" dataDxfId="1">
      <calculatedColumnFormula>MONTH(day_cash[[#This Row],[Date]])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51B50D-EC83-408A-ABAD-EAABA282190E}" name="Table3" displayName="Table3" ref="I2:K7" totalsRowShown="0">
  <autoFilter ref="I2:K7" xr:uid="{A451B50D-EC83-408A-ABAD-EAABA282190E}"/>
  <tableColumns count="3">
    <tableColumn id="1" xr3:uid="{AD558AA0-AC37-48F5-A791-BFE11EBD1395}" name="Month" dataDxfId="0">
      <calculatedColumnFormula>G3</calculatedColumnFormula>
    </tableColumn>
    <tableColumn id="2" xr3:uid="{E2FDD921-8FD2-4544-B5DF-2ECE3637A1FD}" name="Monthly Cost" dataCellStyle="Currency">
      <calculatedColumnFormula>SUMIF(day_cash[Month],Table3[[#This Row],[Month]],day_cash[Daily Cost])</calculatedColumnFormula>
    </tableColumn>
    <tableColumn id="3" xr3:uid="{0DDB80E7-95DA-4502-8FA2-676E4F24D7C8}" name="Cumulative Cost" dataCellStyle="Currency">
      <calculatedColumnFormula>IFERROR(Table3[[#This Row],[Monthly Cost]]+K2,0)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9"/>
  <sheetViews>
    <sheetView tabSelected="1" workbookViewId="0">
      <selection activeCell="H3" sqref="H3"/>
    </sheetView>
  </sheetViews>
  <sheetFormatPr defaultRowHeight="14.25" x14ac:dyDescent="0.45"/>
  <cols>
    <col min="2" max="2" width="6.6640625" style="2" bestFit="1" customWidth="1"/>
    <col min="3" max="3" width="23.1328125" bestFit="1" customWidth="1"/>
    <col min="4" max="4" width="10.06640625" bestFit="1" customWidth="1"/>
    <col min="5" max="5" width="11.06640625" bestFit="1" customWidth="1"/>
    <col min="6" max="6" width="11.9296875" bestFit="1" customWidth="1"/>
    <col min="7" max="7" width="11.86328125" style="3" bestFit="1" customWidth="1"/>
    <col min="8" max="8" width="9.86328125" style="3" bestFit="1" customWidth="1"/>
  </cols>
  <sheetData>
    <row r="2" spans="2:8" x14ac:dyDescent="0.45">
      <c r="B2" s="2" t="s">
        <v>0</v>
      </c>
      <c r="C2" t="s">
        <v>1</v>
      </c>
      <c r="D2" t="s">
        <v>5</v>
      </c>
      <c r="E2" t="s">
        <v>2</v>
      </c>
      <c r="F2" t="s">
        <v>3</v>
      </c>
      <c r="G2" s="3" t="s">
        <v>4</v>
      </c>
      <c r="H2" s="3" t="s">
        <v>32</v>
      </c>
    </row>
    <row r="3" spans="2:8" x14ac:dyDescent="0.45">
      <c r="B3" s="2">
        <v>1.1000000000000001</v>
      </c>
      <c r="C3" t="s">
        <v>6</v>
      </c>
      <c r="D3">
        <v>95</v>
      </c>
      <c r="E3" s="1">
        <v>46391</v>
      </c>
      <c r="F3" s="1">
        <v>46521</v>
      </c>
      <c r="G3" s="3">
        <v>190000</v>
      </c>
      <c r="H3" s="3">
        <f>IF(ISBLANK(schedule[[#This Row],[Duration]]), "", schedule[[#This Row],[Budget]]/schedule[[#This Row],[Duration]])</f>
        <v>2000</v>
      </c>
    </row>
    <row r="4" spans="2:8" x14ac:dyDescent="0.45">
      <c r="B4" s="2">
        <v>1.2</v>
      </c>
      <c r="C4" t="s">
        <v>7</v>
      </c>
      <c r="D4">
        <v>9</v>
      </c>
      <c r="E4" s="1">
        <v>46399</v>
      </c>
      <c r="F4" s="1">
        <v>46409</v>
      </c>
      <c r="G4" s="3">
        <v>22500</v>
      </c>
      <c r="H4" s="3">
        <f>IF(ISBLANK(schedule[[#This Row],[Duration]]), "", schedule[[#This Row],[Budget]]/schedule[[#This Row],[Duration]])</f>
        <v>2500</v>
      </c>
    </row>
    <row r="5" spans="2:8" x14ac:dyDescent="0.45">
      <c r="B5" s="2">
        <v>1.3</v>
      </c>
      <c r="C5" t="s">
        <v>8</v>
      </c>
      <c r="D5">
        <v>5</v>
      </c>
      <c r="E5" s="1">
        <v>46412</v>
      </c>
      <c r="F5" s="1">
        <v>46416</v>
      </c>
      <c r="G5" s="3">
        <v>17500</v>
      </c>
      <c r="H5" s="3">
        <f>IF(ISBLANK(schedule[[#This Row],[Duration]]), "", schedule[[#This Row],[Budget]]/schedule[[#This Row],[Duration]])</f>
        <v>3500</v>
      </c>
    </row>
    <row r="6" spans="2:8" x14ac:dyDescent="0.45">
      <c r="B6" s="2">
        <v>1.4</v>
      </c>
      <c r="C6" t="s">
        <v>9</v>
      </c>
      <c r="D6">
        <v>30</v>
      </c>
      <c r="E6" s="1">
        <v>46419</v>
      </c>
      <c r="F6" s="1">
        <v>46458</v>
      </c>
      <c r="G6" s="3">
        <v>165000</v>
      </c>
      <c r="H6" s="3">
        <f>IF(ISBLANK(schedule[[#This Row],[Duration]]), "", schedule[[#This Row],[Budget]]/schedule[[#This Row],[Duration]])</f>
        <v>5500</v>
      </c>
    </row>
    <row r="7" spans="2:8" x14ac:dyDescent="0.45">
      <c r="B7" s="2">
        <v>1.5</v>
      </c>
      <c r="C7" t="s">
        <v>10</v>
      </c>
      <c r="D7">
        <v>10</v>
      </c>
      <c r="E7" s="1">
        <v>46433</v>
      </c>
      <c r="F7" s="1">
        <v>46444</v>
      </c>
      <c r="G7" s="3">
        <v>37500</v>
      </c>
      <c r="H7" s="3">
        <f>IF(ISBLANK(schedule[[#This Row],[Duration]]), "", schedule[[#This Row],[Budget]]/schedule[[#This Row],[Duration]])</f>
        <v>3750</v>
      </c>
    </row>
    <row r="8" spans="2:8" x14ac:dyDescent="0.45">
      <c r="B8" s="2">
        <v>1.6</v>
      </c>
      <c r="C8" t="s">
        <v>11</v>
      </c>
      <c r="D8">
        <v>50</v>
      </c>
      <c r="E8" s="1">
        <v>46447</v>
      </c>
      <c r="F8" s="1">
        <v>46514</v>
      </c>
      <c r="G8" s="3">
        <v>237500</v>
      </c>
      <c r="H8" s="3">
        <f>IF(ISBLANK(schedule[[#This Row],[Duration]]), "", schedule[[#This Row],[Budget]]/schedule[[#This Row],[Duration]])</f>
        <v>4750</v>
      </c>
    </row>
    <row r="9" spans="2:8" x14ac:dyDescent="0.45">
      <c r="B9" s="2">
        <v>1.7</v>
      </c>
      <c r="C9" t="s">
        <v>12</v>
      </c>
      <c r="H9" s="3" t="str">
        <f>IF(ISBLANK(schedule[[#This Row],[Duration]]), "", schedule[[#This Row],[Budget]]/schedule[[#This Row],[Duration]])</f>
        <v/>
      </c>
    </row>
    <row r="10" spans="2:8" x14ac:dyDescent="0.45">
      <c r="B10" s="2" t="s">
        <v>15</v>
      </c>
      <c r="C10" t="s">
        <v>25</v>
      </c>
      <c r="D10">
        <v>5</v>
      </c>
      <c r="E10" s="1">
        <v>46405</v>
      </c>
      <c r="F10" s="1">
        <v>46409</v>
      </c>
      <c r="G10" s="3">
        <v>12500</v>
      </c>
      <c r="H10" s="3">
        <f>IF(ISBLANK(schedule[[#This Row],[Duration]]), "", schedule[[#This Row],[Budget]]/schedule[[#This Row],[Duration]])</f>
        <v>2500</v>
      </c>
    </row>
    <row r="11" spans="2:8" x14ac:dyDescent="0.45">
      <c r="B11" s="2" t="s">
        <v>16</v>
      </c>
      <c r="C11" t="s">
        <v>23</v>
      </c>
      <c r="D11">
        <v>5</v>
      </c>
      <c r="E11" s="1">
        <v>46461</v>
      </c>
      <c r="F11" s="1">
        <v>46465</v>
      </c>
      <c r="G11" s="3">
        <v>17500</v>
      </c>
      <c r="H11" s="3">
        <f>IF(ISBLANK(schedule[[#This Row],[Duration]]), "", schedule[[#This Row],[Budget]]/schedule[[#This Row],[Duration]])</f>
        <v>3500</v>
      </c>
    </row>
    <row r="12" spans="2:8" x14ac:dyDescent="0.45">
      <c r="B12" s="2" t="s">
        <v>17</v>
      </c>
      <c r="C12" t="s">
        <v>24</v>
      </c>
      <c r="D12">
        <v>5</v>
      </c>
      <c r="E12" s="1">
        <v>46489</v>
      </c>
      <c r="F12" s="1">
        <v>46493</v>
      </c>
      <c r="G12" s="3">
        <v>11250</v>
      </c>
      <c r="H12" s="3">
        <f>IF(ISBLANK(schedule[[#This Row],[Duration]]), "", schedule[[#This Row],[Budget]]/schedule[[#This Row],[Duration]])</f>
        <v>2250</v>
      </c>
    </row>
    <row r="13" spans="2:8" x14ac:dyDescent="0.45">
      <c r="B13" s="2">
        <v>1.8</v>
      </c>
      <c r="C13" t="s">
        <v>13</v>
      </c>
      <c r="H13" s="3" t="str">
        <f>IF(ISBLANK(schedule[[#This Row],[Duration]]), "", schedule[[#This Row],[Budget]]/schedule[[#This Row],[Duration]])</f>
        <v/>
      </c>
    </row>
    <row r="14" spans="2:8" x14ac:dyDescent="0.45">
      <c r="B14" s="2" t="s">
        <v>18</v>
      </c>
      <c r="C14" t="s">
        <v>26</v>
      </c>
      <c r="D14">
        <v>5</v>
      </c>
      <c r="E14" s="1">
        <v>46405</v>
      </c>
      <c r="F14" s="1">
        <v>46409</v>
      </c>
      <c r="G14" s="3">
        <v>16250</v>
      </c>
      <c r="H14" s="3">
        <f>IF(ISBLANK(schedule[[#This Row],[Duration]]), "", schedule[[#This Row],[Budget]]/schedule[[#This Row],[Duration]])</f>
        <v>3250</v>
      </c>
    </row>
    <row r="15" spans="2:8" x14ac:dyDescent="0.45">
      <c r="B15" s="2" t="s">
        <v>19</v>
      </c>
      <c r="C15" t="s">
        <v>27</v>
      </c>
      <c r="D15">
        <v>10</v>
      </c>
      <c r="E15" s="1">
        <v>46461</v>
      </c>
      <c r="F15" s="1">
        <v>46472</v>
      </c>
      <c r="G15" s="3">
        <v>50000</v>
      </c>
      <c r="H15" s="3">
        <f>IF(ISBLANK(schedule[[#This Row],[Duration]]), "", schedule[[#This Row],[Budget]]/schedule[[#This Row],[Duration]])</f>
        <v>5000</v>
      </c>
    </row>
    <row r="16" spans="2:8" x14ac:dyDescent="0.45">
      <c r="B16" s="2" t="s">
        <v>20</v>
      </c>
      <c r="C16" t="s">
        <v>28</v>
      </c>
      <c r="D16">
        <v>10</v>
      </c>
      <c r="E16" s="1">
        <v>46489</v>
      </c>
      <c r="F16" s="1">
        <v>46500</v>
      </c>
      <c r="G16" s="3">
        <v>45000</v>
      </c>
      <c r="H16" s="3">
        <f>IF(ISBLANK(schedule[[#This Row],[Duration]]), "", schedule[[#This Row],[Budget]]/schedule[[#This Row],[Duration]])</f>
        <v>4500</v>
      </c>
    </row>
    <row r="17" spans="2:8" x14ac:dyDescent="0.45">
      <c r="B17" s="2">
        <v>1.9</v>
      </c>
      <c r="C17" t="s">
        <v>14</v>
      </c>
      <c r="H17" s="3" t="str">
        <f>IF(ISBLANK(schedule[[#This Row],[Duration]]), "", schedule[[#This Row],[Budget]]/schedule[[#This Row],[Duration]])</f>
        <v/>
      </c>
    </row>
    <row r="18" spans="2:8" x14ac:dyDescent="0.45">
      <c r="B18" s="2" t="s">
        <v>21</v>
      </c>
      <c r="C18" t="s">
        <v>29</v>
      </c>
      <c r="D18">
        <v>15</v>
      </c>
      <c r="E18" s="1">
        <v>46454</v>
      </c>
      <c r="F18" s="1">
        <v>46472</v>
      </c>
      <c r="G18" s="3">
        <v>112500</v>
      </c>
      <c r="H18" s="3">
        <f>IF(ISBLANK(schedule[[#This Row],[Duration]]), "", schedule[[#This Row],[Budget]]/schedule[[#This Row],[Duration]])</f>
        <v>7500</v>
      </c>
    </row>
    <row r="19" spans="2:8" x14ac:dyDescent="0.45">
      <c r="B19" s="2" t="s">
        <v>22</v>
      </c>
      <c r="C19" t="s">
        <v>30</v>
      </c>
      <c r="D19">
        <v>5</v>
      </c>
      <c r="E19" s="1">
        <v>46489</v>
      </c>
      <c r="F19" s="1">
        <v>46493</v>
      </c>
      <c r="G19" s="3">
        <v>18750</v>
      </c>
      <c r="H19" s="3">
        <f>IF(ISBLANK(schedule[[#This Row],[Duration]]), "", schedule[[#This Row],[Budget]]/schedule[[#This Row],[Duration]])</f>
        <v>3750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49B7-08E3-4F2F-8FAC-BD3267199FCF}">
  <dimension ref="B2:K153"/>
  <sheetViews>
    <sheetView workbookViewId="0">
      <selection activeCell="K14" sqref="K14"/>
    </sheetView>
  </sheetViews>
  <sheetFormatPr defaultRowHeight="14.25" x14ac:dyDescent="0.45"/>
  <cols>
    <col min="2" max="2" width="9.19921875" bestFit="1" customWidth="1"/>
    <col min="3" max="3" width="12.1328125" style="3" bestFit="1" customWidth="1"/>
    <col min="4" max="4" width="17.3984375" style="3" bestFit="1" customWidth="1"/>
    <col min="6" max="6" width="1.59765625" bestFit="1" customWidth="1"/>
    <col min="7" max="7" width="1.73046875" customWidth="1"/>
    <col min="8" max="8" width="1.59765625" customWidth="1"/>
    <col min="9" max="9" width="8.46484375" bestFit="1" customWidth="1"/>
    <col min="10" max="10" width="13.53125" style="3" customWidth="1"/>
    <col min="11" max="11" width="15.796875" style="3" customWidth="1"/>
  </cols>
  <sheetData>
    <row r="2" spans="2:11" x14ac:dyDescent="0.45">
      <c r="B2" t="s">
        <v>31</v>
      </c>
      <c r="C2" s="3" t="s">
        <v>33</v>
      </c>
      <c r="D2" s="3" t="s">
        <v>34</v>
      </c>
      <c r="E2" t="s">
        <v>35</v>
      </c>
      <c r="I2" t="s">
        <v>35</v>
      </c>
      <c r="J2" s="3" t="s">
        <v>36</v>
      </c>
      <c r="K2" s="3" t="s">
        <v>34</v>
      </c>
    </row>
    <row r="3" spans="2:11" x14ac:dyDescent="0.45">
      <c r="B3" s="1">
        <v>46388</v>
      </c>
      <c r="C3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3" s="3">
        <f>IFERROR(day_cash[[#This Row],[Daily Cost]]+D2, 0)</f>
        <v>0</v>
      </c>
      <c r="E3">
        <f>MONTH(day_cash[[#This Row],[Date]])</f>
        <v>1</v>
      </c>
      <c r="G3" cm="1">
        <f t="array" ref="G3:G7">_xlfn.UNIQUE(day_cash[Month])</f>
        <v>1</v>
      </c>
      <c r="I3">
        <f t="shared" ref="I3:I7" si="0">G3</f>
        <v>1</v>
      </c>
      <c r="J3" s="3">
        <f>SUMIF(day_cash[Month],Table3[[#This Row],[Month]],day_cash[Daily Cost])</f>
        <v>108750</v>
      </c>
      <c r="K3" s="3">
        <f>Table3[[#This Row],[Monthly Cost]]</f>
        <v>108750</v>
      </c>
    </row>
    <row r="4" spans="2:11" x14ac:dyDescent="0.45">
      <c r="B4" s="1">
        <v>46389</v>
      </c>
      <c r="C4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4" s="3">
        <f>IFERROR(day_cash[[#This Row],[Daily Cost]]+D3, 0)</f>
        <v>0</v>
      </c>
      <c r="E4">
        <f>MONTH(day_cash[[#This Row],[Date]])</f>
        <v>1</v>
      </c>
      <c r="G4">
        <v>2</v>
      </c>
      <c r="I4">
        <f t="shared" si="0"/>
        <v>2</v>
      </c>
      <c r="J4" s="3">
        <f>SUMIF(day_cash[Month],Table3[[#This Row],[Month]],day_cash[Daily Cost])</f>
        <v>187500</v>
      </c>
      <c r="K4" s="3">
        <f>IFERROR(Table3[[#This Row],[Monthly Cost]]+K3,0)</f>
        <v>296250</v>
      </c>
    </row>
    <row r="5" spans="2:11" x14ac:dyDescent="0.45">
      <c r="B5" s="1">
        <v>46390</v>
      </c>
      <c r="C5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5" s="3">
        <f>IFERROR(day_cash[[#This Row],[Daily Cost]]+D4, 0)</f>
        <v>0</v>
      </c>
      <c r="E5">
        <f>MONTH(day_cash[[#This Row],[Date]])</f>
        <v>1</v>
      </c>
      <c r="G5">
        <v>3</v>
      </c>
      <c r="I5">
        <f t="shared" si="0"/>
        <v>3</v>
      </c>
      <c r="J5" s="3">
        <f>SUMIF(day_cash[Month],Table3[[#This Row],[Month]],day_cash[Daily Cost])</f>
        <v>390250</v>
      </c>
      <c r="K5" s="3">
        <f>IFERROR(Table3[[#This Row],[Monthly Cost]]+K4,0)</f>
        <v>686500</v>
      </c>
    </row>
    <row r="6" spans="2:11" x14ac:dyDescent="0.45">
      <c r="B6" s="1">
        <v>46391</v>
      </c>
      <c r="C6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2000</v>
      </c>
      <c r="D6" s="3">
        <f>IFERROR(day_cash[[#This Row],[Daily Cost]]+D5, 0)</f>
        <v>2000</v>
      </c>
      <c r="E6">
        <f>MONTH(day_cash[[#This Row],[Date]])</f>
        <v>1</v>
      </c>
      <c r="G6">
        <v>4</v>
      </c>
      <c r="I6">
        <f t="shared" si="0"/>
        <v>4</v>
      </c>
      <c r="J6" s="3">
        <f>SUMIF(day_cash[Month],Table3[[#This Row],[Month]],day_cash[Daily Cost])</f>
        <v>223500</v>
      </c>
      <c r="K6" s="3">
        <f>IFERROR(Table3[[#This Row],[Monthly Cost]]+K5,0)</f>
        <v>910000</v>
      </c>
    </row>
    <row r="7" spans="2:11" x14ac:dyDescent="0.45">
      <c r="B7" s="1">
        <v>46392</v>
      </c>
      <c r="C7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2000</v>
      </c>
      <c r="D7" s="3">
        <f>IFERROR(day_cash[[#This Row],[Daily Cost]]+D6, 0)</f>
        <v>4000</v>
      </c>
      <c r="E7">
        <f>MONTH(day_cash[[#This Row],[Date]])</f>
        <v>1</v>
      </c>
      <c r="G7">
        <v>5</v>
      </c>
      <c r="I7">
        <f t="shared" si="0"/>
        <v>5</v>
      </c>
      <c r="J7" s="3">
        <f>SUMIF(day_cash[Month],Table3[[#This Row],[Month]],day_cash[Daily Cost])</f>
        <v>43750</v>
      </c>
      <c r="K7" s="3">
        <f>IFERROR(Table3[[#This Row],[Monthly Cost]]+K6,0)</f>
        <v>953750</v>
      </c>
    </row>
    <row r="8" spans="2:11" x14ac:dyDescent="0.45">
      <c r="B8" s="1">
        <v>46393</v>
      </c>
      <c r="C8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2000</v>
      </c>
      <c r="D8" s="3">
        <f>IFERROR(day_cash[[#This Row],[Daily Cost]]+D7, 0)</f>
        <v>6000</v>
      </c>
      <c r="E8">
        <f>MONTH(day_cash[[#This Row],[Date]])</f>
        <v>1</v>
      </c>
    </row>
    <row r="9" spans="2:11" x14ac:dyDescent="0.45">
      <c r="B9" s="1">
        <v>46394</v>
      </c>
      <c r="C9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2000</v>
      </c>
      <c r="D9" s="3">
        <f>IFERROR(day_cash[[#This Row],[Daily Cost]]+D8, 0)</f>
        <v>8000</v>
      </c>
      <c r="E9">
        <f>MONTH(day_cash[[#This Row],[Date]])</f>
        <v>1</v>
      </c>
    </row>
    <row r="10" spans="2:11" x14ac:dyDescent="0.45">
      <c r="B10" s="1">
        <v>46395</v>
      </c>
      <c r="C10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2000</v>
      </c>
      <c r="D10" s="3">
        <f>IFERROR(day_cash[[#This Row],[Daily Cost]]+D9, 0)</f>
        <v>10000</v>
      </c>
      <c r="E10">
        <f>MONTH(day_cash[[#This Row],[Date]])</f>
        <v>1</v>
      </c>
    </row>
    <row r="11" spans="2:11" x14ac:dyDescent="0.45">
      <c r="B11" s="1">
        <v>46396</v>
      </c>
      <c r="C11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1" s="3">
        <f>IFERROR(day_cash[[#This Row],[Daily Cost]]+D10, 0)</f>
        <v>10000</v>
      </c>
      <c r="E11">
        <f>MONTH(day_cash[[#This Row],[Date]])</f>
        <v>1</v>
      </c>
    </row>
    <row r="12" spans="2:11" x14ac:dyDescent="0.45">
      <c r="B12" s="1">
        <v>46397</v>
      </c>
      <c r="C12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2" s="3">
        <f>IFERROR(day_cash[[#This Row],[Daily Cost]]+D11, 0)</f>
        <v>10000</v>
      </c>
      <c r="E12">
        <f>MONTH(day_cash[[#This Row],[Date]])</f>
        <v>1</v>
      </c>
    </row>
    <row r="13" spans="2:11" x14ac:dyDescent="0.45">
      <c r="B13" s="1">
        <v>46398</v>
      </c>
      <c r="C13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2000</v>
      </c>
      <c r="D13" s="3">
        <f>IFERROR(day_cash[[#This Row],[Daily Cost]]+D12, 0)</f>
        <v>12000</v>
      </c>
      <c r="E13">
        <f>MONTH(day_cash[[#This Row],[Date]])</f>
        <v>1</v>
      </c>
    </row>
    <row r="14" spans="2:11" x14ac:dyDescent="0.45">
      <c r="B14" s="1">
        <v>46399</v>
      </c>
      <c r="C14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4500</v>
      </c>
      <c r="D14" s="3">
        <f>IFERROR(day_cash[[#This Row],[Daily Cost]]+D13, 0)</f>
        <v>16500</v>
      </c>
      <c r="E14">
        <f>MONTH(day_cash[[#This Row],[Date]])</f>
        <v>1</v>
      </c>
    </row>
    <row r="15" spans="2:11" x14ac:dyDescent="0.45">
      <c r="B15" s="1">
        <v>46400</v>
      </c>
      <c r="C15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4500</v>
      </c>
      <c r="D15" s="3">
        <f>IFERROR(day_cash[[#This Row],[Daily Cost]]+D14, 0)</f>
        <v>21000</v>
      </c>
      <c r="E15">
        <f>MONTH(day_cash[[#This Row],[Date]])</f>
        <v>1</v>
      </c>
    </row>
    <row r="16" spans="2:11" x14ac:dyDescent="0.45">
      <c r="B16" s="1">
        <v>46401</v>
      </c>
      <c r="C16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4500</v>
      </c>
      <c r="D16" s="3">
        <f>IFERROR(day_cash[[#This Row],[Daily Cost]]+D15, 0)</f>
        <v>25500</v>
      </c>
      <c r="E16">
        <f>MONTH(day_cash[[#This Row],[Date]])</f>
        <v>1</v>
      </c>
    </row>
    <row r="17" spans="2:5" x14ac:dyDescent="0.45">
      <c r="B17" s="1">
        <v>46402</v>
      </c>
      <c r="C17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4500</v>
      </c>
      <c r="D17" s="3">
        <f>IFERROR(day_cash[[#This Row],[Daily Cost]]+D16, 0)</f>
        <v>30000</v>
      </c>
      <c r="E17">
        <f>MONTH(day_cash[[#This Row],[Date]])</f>
        <v>1</v>
      </c>
    </row>
    <row r="18" spans="2:5" x14ac:dyDescent="0.45">
      <c r="B18" s="1">
        <v>46403</v>
      </c>
      <c r="C18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8" s="3">
        <f>IFERROR(day_cash[[#This Row],[Daily Cost]]+D17, 0)</f>
        <v>30000</v>
      </c>
      <c r="E18">
        <f>MONTH(day_cash[[#This Row],[Date]])</f>
        <v>1</v>
      </c>
    </row>
    <row r="19" spans="2:5" x14ac:dyDescent="0.45">
      <c r="B19" s="1">
        <v>46404</v>
      </c>
      <c r="C19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9" s="3">
        <f>IFERROR(day_cash[[#This Row],[Daily Cost]]+D18, 0)</f>
        <v>30000</v>
      </c>
      <c r="E19">
        <f>MONTH(day_cash[[#This Row],[Date]])</f>
        <v>1</v>
      </c>
    </row>
    <row r="20" spans="2:5" x14ac:dyDescent="0.45">
      <c r="B20" s="1">
        <v>46405</v>
      </c>
      <c r="C20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10250</v>
      </c>
      <c r="D20" s="3">
        <f>IFERROR(day_cash[[#This Row],[Daily Cost]]+D19, 0)</f>
        <v>40250</v>
      </c>
      <c r="E20">
        <f>MONTH(day_cash[[#This Row],[Date]])</f>
        <v>1</v>
      </c>
    </row>
    <row r="21" spans="2:5" x14ac:dyDescent="0.45">
      <c r="B21" s="1">
        <v>46406</v>
      </c>
      <c r="C21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10250</v>
      </c>
      <c r="D21" s="3">
        <f>IFERROR(day_cash[[#This Row],[Daily Cost]]+D20, 0)</f>
        <v>50500</v>
      </c>
      <c r="E21">
        <f>MONTH(day_cash[[#This Row],[Date]])</f>
        <v>1</v>
      </c>
    </row>
    <row r="22" spans="2:5" x14ac:dyDescent="0.45">
      <c r="B22" s="1">
        <v>46407</v>
      </c>
      <c r="C22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10250</v>
      </c>
      <c r="D22" s="3">
        <f>IFERROR(day_cash[[#This Row],[Daily Cost]]+D21, 0)</f>
        <v>60750</v>
      </c>
      <c r="E22">
        <f>MONTH(day_cash[[#This Row],[Date]])</f>
        <v>1</v>
      </c>
    </row>
    <row r="23" spans="2:5" x14ac:dyDescent="0.45">
      <c r="B23" s="1">
        <v>46408</v>
      </c>
      <c r="C23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10250</v>
      </c>
      <c r="D23" s="3">
        <f>IFERROR(day_cash[[#This Row],[Daily Cost]]+D22, 0)</f>
        <v>71000</v>
      </c>
      <c r="E23">
        <f>MONTH(day_cash[[#This Row],[Date]])</f>
        <v>1</v>
      </c>
    </row>
    <row r="24" spans="2:5" x14ac:dyDescent="0.45">
      <c r="B24" s="1">
        <v>46409</v>
      </c>
      <c r="C24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10250</v>
      </c>
      <c r="D24" s="3">
        <f>IFERROR(day_cash[[#This Row],[Daily Cost]]+D23, 0)</f>
        <v>81250</v>
      </c>
      <c r="E24">
        <f>MONTH(day_cash[[#This Row],[Date]])</f>
        <v>1</v>
      </c>
    </row>
    <row r="25" spans="2:5" x14ac:dyDescent="0.45">
      <c r="B25" s="1">
        <v>46410</v>
      </c>
      <c r="C25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25" s="3">
        <f>IFERROR(day_cash[[#This Row],[Daily Cost]]+D24, 0)</f>
        <v>81250</v>
      </c>
      <c r="E25">
        <f>MONTH(day_cash[[#This Row],[Date]])</f>
        <v>1</v>
      </c>
    </row>
    <row r="26" spans="2:5" x14ac:dyDescent="0.45">
      <c r="B26" s="1">
        <v>46411</v>
      </c>
      <c r="C26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26" s="3">
        <f>IFERROR(day_cash[[#This Row],[Daily Cost]]+D25, 0)</f>
        <v>81250</v>
      </c>
      <c r="E26">
        <f>MONTH(day_cash[[#This Row],[Date]])</f>
        <v>1</v>
      </c>
    </row>
    <row r="27" spans="2:5" x14ac:dyDescent="0.45">
      <c r="B27" s="1">
        <v>46412</v>
      </c>
      <c r="C27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5500</v>
      </c>
      <c r="D27" s="3">
        <f>IFERROR(day_cash[[#This Row],[Daily Cost]]+D26, 0)</f>
        <v>86750</v>
      </c>
      <c r="E27">
        <f>MONTH(day_cash[[#This Row],[Date]])</f>
        <v>1</v>
      </c>
    </row>
    <row r="28" spans="2:5" x14ac:dyDescent="0.45">
      <c r="B28" s="1">
        <v>46413</v>
      </c>
      <c r="C28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5500</v>
      </c>
      <c r="D28" s="3">
        <f>IFERROR(day_cash[[#This Row],[Daily Cost]]+D27, 0)</f>
        <v>92250</v>
      </c>
      <c r="E28">
        <f>MONTH(day_cash[[#This Row],[Date]])</f>
        <v>1</v>
      </c>
    </row>
    <row r="29" spans="2:5" x14ac:dyDescent="0.45">
      <c r="B29" s="1">
        <v>46414</v>
      </c>
      <c r="C29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5500</v>
      </c>
      <c r="D29" s="3">
        <f>IFERROR(day_cash[[#This Row],[Daily Cost]]+D28, 0)</f>
        <v>97750</v>
      </c>
      <c r="E29">
        <f>MONTH(day_cash[[#This Row],[Date]])</f>
        <v>1</v>
      </c>
    </row>
    <row r="30" spans="2:5" x14ac:dyDescent="0.45">
      <c r="B30" s="1">
        <v>46415</v>
      </c>
      <c r="C30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5500</v>
      </c>
      <c r="D30" s="3">
        <f>IFERROR(day_cash[[#This Row],[Daily Cost]]+D29, 0)</f>
        <v>103250</v>
      </c>
      <c r="E30">
        <f>MONTH(day_cash[[#This Row],[Date]])</f>
        <v>1</v>
      </c>
    </row>
    <row r="31" spans="2:5" x14ac:dyDescent="0.45">
      <c r="B31" s="1">
        <v>46416</v>
      </c>
      <c r="C31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5500</v>
      </c>
      <c r="D31" s="3">
        <f>IFERROR(day_cash[[#This Row],[Daily Cost]]+D30, 0)</f>
        <v>108750</v>
      </c>
      <c r="E31">
        <f>MONTH(day_cash[[#This Row],[Date]])</f>
        <v>1</v>
      </c>
    </row>
    <row r="32" spans="2:5" x14ac:dyDescent="0.45">
      <c r="B32" s="1">
        <v>46417</v>
      </c>
      <c r="C32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32" s="3">
        <f>IFERROR(day_cash[[#This Row],[Daily Cost]]+D31, 0)</f>
        <v>108750</v>
      </c>
      <c r="E32">
        <f>MONTH(day_cash[[#This Row],[Date]])</f>
        <v>1</v>
      </c>
    </row>
    <row r="33" spans="2:5" x14ac:dyDescent="0.45">
      <c r="B33" s="1">
        <v>46418</v>
      </c>
      <c r="C33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33" s="3">
        <f>IFERROR(day_cash[[#This Row],[Daily Cost]]+D32, 0)</f>
        <v>108750</v>
      </c>
      <c r="E33">
        <f>MONTH(day_cash[[#This Row],[Date]])</f>
        <v>1</v>
      </c>
    </row>
    <row r="34" spans="2:5" x14ac:dyDescent="0.45">
      <c r="B34" s="1">
        <v>46419</v>
      </c>
      <c r="C34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7500</v>
      </c>
      <c r="D34" s="3">
        <f>IFERROR(day_cash[[#This Row],[Daily Cost]]+D33, 0)</f>
        <v>116250</v>
      </c>
      <c r="E34">
        <f>MONTH(day_cash[[#This Row],[Date]])</f>
        <v>2</v>
      </c>
    </row>
    <row r="35" spans="2:5" x14ac:dyDescent="0.45">
      <c r="B35" s="1">
        <v>46420</v>
      </c>
      <c r="C35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7500</v>
      </c>
      <c r="D35" s="3">
        <f>IFERROR(day_cash[[#This Row],[Daily Cost]]+D34, 0)</f>
        <v>123750</v>
      </c>
      <c r="E35">
        <f>MONTH(day_cash[[#This Row],[Date]])</f>
        <v>2</v>
      </c>
    </row>
    <row r="36" spans="2:5" x14ac:dyDescent="0.45">
      <c r="B36" s="1">
        <v>46421</v>
      </c>
      <c r="C36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7500</v>
      </c>
      <c r="D36" s="3">
        <f>IFERROR(day_cash[[#This Row],[Daily Cost]]+D35, 0)</f>
        <v>131250</v>
      </c>
      <c r="E36">
        <f>MONTH(day_cash[[#This Row],[Date]])</f>
        <v>2</v>
      </c>
    </row>
    <row r="37" spans="2:5" x14ac:dyDescent="0.45">
      <c r="B37" s="1">
        <v>46422</v>
      </c>
      <c r="C37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7500</v>
      </c>
      <c r="D37" s="3">
        <f>IFERROR(day_cash[[#This Row],[Daily Cost]]+D36, 0)</f>
        <v>138750</v>
      </c>
      <c r="E37">
        <f>MONTH(day_cash[[#This Row],[Date]])</f>
        <v>2</v>
      </c>
    </row>
    <row r="38" spans="2:5" x14ac:dyDescent="0.45">
      <c r="B38" s="1">
        <v>46423</v>
      </c>
      <c r="C38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7500</v>
      </c>
      <c r="D38" s="3">
        <f>IFERROR(day_cash[[#This Row],[Daily Cost]]+D37, 0)</f>
        <v>146250</v>
      </c>
      <c r="E38">
        <f>MONTH(day_cash[[#This Row],[Date]])</f>
        <v>2</v>
      </c>
    </row>
    <row r="39" spans="2:5" x14ac:dyDescent="0.45">
      <c r="B39" s="1">
        <v>46424</v>
      </c>
      <c r="C39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39" s="3">
        <f>IFERROR(day_cash[[#This Row],[Daily Cost]]+D38, 0)</f>
        <v>146250</v>
      </c>
      <c r="E39">
        <f>MONTH(day_cash[[#This Row],[Date]])</f>
        <v>2</v>
      </c>
    </row>
    <row r="40" spans="2:5" x14ac:dyDescent="0.45">
      <c r="B40" s="1">
        <v>46425</v>
      </c>
      <c r="C40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40" s="3">
        <f>IFERROR(day_cash[[#This Row],[Daily Cost]]+D39, 0)</f>
        <v>146250</v>
      </c>
      <c r="E40">
        <f>MONTH(day_cash[[#This Row],[Date]])</f>
        <v>2</v>
      </c>
    </row>
    <row r="41" spans="2:5" x14ac:dyDescent="0.45">
      <c r="B41" s="1">
        <v>46426</v>
      </c>
      <c r="C41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7500</v>
      </c>
      <c r="D41" s="3">
        <f>IFERROR(day_cash[[#This Row],[Daily Cost]]+D40, 0)</f>
        <v>153750</v>
      </c>
      <c r="E41">
        <f>MONTH(day_cash[[#This Row],[Date]])</f>
        <v>2</v>
      </c>
    </row>
    <row r="42" spans="2:5" x14ac:dyDescent="0.45">
      <c r="B42" s="1">
        <v>46427</v>
      </c>
      <c r="C42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7500</v>
      </c>
      <c r="D42" s="3">
        <f>IFERROR(day_cash[[#This Row],[Daily Cost]]+D41, 0)</f>
        <v>161250</v>
      </c>
      <c r="E42">
        <f>MONTH(day_cash[[#This Row],[Date]])</f>
        <v>2</v>
      </c>
    </row>
    <row r="43" spans="2:5" x14ac:dyDescent="0.45">
      <c r="B43" s="1">
        <v>46428</v>
      </c>
      <c r="C43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7500</v>
      </c>
      <c r="D43" s="3">
        <f>IFERROR(day_cash[[#This Row],[Daily Cost]]+D42, 0)</f>
        <v>168750</v>
      </c>
      <c r="E43">
        <f>MONTH(day_cash[[#This Row],[Date]])</f>
        <v>2</v>
      </c>
    </row>
    <row r="44" spans="2:5" x14ac:dyDescent="0.45">
      <c r="B44" s="1">
        <v>46429</v>
      </c>
      <c r="C44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7500</v>
      </c>
      <c r="D44" s="3">
        <f>IFERROR(day_cash[[#This Row],[Daily Cost]]+D43, 0)</f>
        <v>176250</v>
      </c>
      <c r="E44">
        <f>MONTH(day_cash[[#This Row],[Date]])</f>
        <v>2</v>
      </c>
    </row>
    <row r="45" spans="2:5" x14ac:dyDescent="0.45">
      <c r="B45" s="1">
        <v>46430</v>
      </c>
      <c r="C45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7500</v>
      </c>
      <c r="D45" s="3">
        <f>IFERROR(day_cash[[#This Row],[Daily Cost]]+D44, 0)</f>
        <v>183750</v>
      </c>
      <c r="E45">
        <f>MONTH(day_cash[[#This Row],[Date]])</f>
        <v>2</v>
      </c>
    </row>
    <row r="46" spans="2:5" x14ac:dyDescent="0.45">
      <c r="B46" s="1">
        <v>46431</v>
      </c>
      <c r="C46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46" s="3">
        <f>IFERROR(day_cash[[#This Row],[Daily Cost]]+D45, 0)</f>
        <v>183750</v>
      </c>
      <c r="E46">
        <f>MONTH(day_cash[[#This Row],[Date]])</f>
        <v>2</v>
      </c>
    </row>
    <row r="47" spans="2:5" x14ac:dyDescent="0.45">
      <c r="B47" s="1">
        <v>46432</v>
      </c>
      <c r="C47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47" s="3">
        <f>IFERROR(day_cash[[#This Row],[Daily Cost]]+D46, 0)</f>
        <v>183750</v>
      </c>
      <c r="E47">
        <f>MONTH(day_cash[[#This Row],[Date]])</f>
        <v>2</v>
      </c>
    </row>
    <row r="48" spans="2:5" x14ac:dyDescent="0.45">
      <c r="B48" s="1">
        <v>46433</v>
      </c>
      <c r="C48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11250</v>
      </c>
      <c r="D48" s="3">
        <f>IFERROR(day_cash[[#This Row],[Daily Cost]]+D47, 0)</f>
        <v>195000</v>
      </c>
      <c r="E48">
        <f>MONTH(day_cash[[#This Row],[Date]])</f>
        <v>2</v>
      </c>
    </row>
    <row r="49" spans="2:5" x14ac:dyDescent="0.45">
      <c r="B49" s="1">
        <v>46434</v>
      </c>
      <c r="C49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11250</v>
      </c>
      <c r="D49" s="3">
        <f>IFERROR(day_cash[[#This Row],[Daily Cost]]+D48, 0)</f>
        <v>206250</v>
      </c>
      <c r="E49">
        <f>MONTH(day_cash[[#This Row],[Date]])</f>
        <v>2</v>
      </c>
    </row>
    <row r="50" spans="2:5" x14ac:dyDescent="0.45">
      <c r="B50" s="1">
        <v>46435</v>
      </c>
      <c r="C50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11250</v>
      </c>
      <c r="D50" s="3">
        <f>IFERROR(day_cash[[#This Row],[Daily Cost]]+D49, 0)</f>
        <v>217500</v>
      </c>
      <c r="E50">
        <f>MONTH(day_cash[[#This Row],[Date]])</f>
        <v>2</v>
      </c>
    </row>
    <row r="51" spans="2:5" x14ac:dyDescent="0.45">
      <c r="B51" s="1">
        <v>46436</v>
      </c>
      <c r="C51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11250</v>
      </c>
      <c r="D51" s="3">
        <f>IFERROR(day_cash[[#This Row],[Daily Cost]]+D50, 0)</f>
        <v>228750</v>
      </c>
      <c r="E51">
        <f>MONTH(day_cash[[#This Row],[Date]])</f>
        <v>2</v>
      </c>
    </row>
    <row r="52" spans="2:5" x14ac:dyDescent="0.45">
      <c r="B52" s="1">
        <v>46437</v>
      </c>
      <c r="C52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11250</v>
      </c>
      <c r="D52" s="3">
        <f>IFERROR(day_cash[[#This Row],[Daily Cost]]+D51, 0)</f>
        <v>240000</v>
      </c>
      <c r="E52">
        <f>MONTH(day_cash[[#This Row],[Date]])</f>
        <v>2</v>
      </c>
    </row>
    <row r="53" spans="2:5" x14ac:dyDescent="0.45">
      <c r="B53" s="1">
        <v>46438</v>
      </c>
      <c r="C53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53" s="3">
        <f>IFERROR(day_cash[[#This Row],[Daily Cost]]+D52, 0)</f>
        <v>240000</v>
      </c>
      <c r="E53">
        <f>MONTH(day_cash[[#This Row],[Date]])</f>
        <v>2</v>
      </c>
    </row>
    <row r="54" spans="2:5" x14ac:dyDescent="0.45">
      <c r="B54" s="1">
        <v>46439</v>
      </c>
      <c r="C54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54" s="3">
        <f>IFERROR(day_cash[[#This Row],[Daily Cost]]+D53, 0)</f>
        <v>240000</v>
      </c>
      <c r="E54">
        <f>MONTH(day_cash[[#This Row],[Date]])</f>
        <v>2</v>
      </c>
    </row>
    <row r="55" spans="2:5" x14ac:dyDescent="0.45">
      <c r="B55" s="1">
        <v>46440</v>
      </c>
      <c r="C55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11250</v>
      </c>
      <c r="D55" s="3">
        <f>IFERROR(day_cash[[#This Row],[Daily Cost]]+D54, 0)</f>
        <v>251250</v>
      </c>
      <c r="E55">
        <f>MONTH(day_cash[[#This Row],[Date]])</f>
        <v>2</v>
      </c>
    </row>
    <row r="56" spans="2:5" x14ac:dyDescent="0.45">
      <c r="B56" s="1">
        <v>46441</v>
      </c>
      <c r="C56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11250</v>
      </c>
      <c r="D56" s="3">
        <f>IFERROR(day_cash[[#This Row],[Daily Cost]]+D55, 0)</f>
        <v>262500</v>
      </c>
      <c r="E56">
        <f>MONTH(day_cash[[#This Row],[Date]])</f>
        <v>2</v>
      </c>
    </row>
    <row r="57" spans="2:5" x14ac:dyDescent="0.45">
      <c r="B57" s="1">
        <v>46442</v>
      </c>
      <c r="C57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11250</v>
      </c>
      <c r="D57" s="3">
        <f>IFERROR(day_cash[[#This Row],[Daily Cost]]+D56, 0)</f>
        <v>273750</v>
      </c>
      <c r="E57">
        <f>MONTH(day_cash[[#This Row],[Date]])</f>
        <v>2</v>
      </c>
    </row>
    <row r="58" spans="2:5" x14ac:dyDescent="0.45">
      <c r="B58" s="1">
        <v>46443</v>
      </c>
      <c r="C58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11250</v>
      </c>
      <c r="D58" s="3">
        <f>IFERROR(day_cash[[#This Row],[Daily Cost]]+D57, 0)</f>
        <v>285000</v>
      </c>
      <c r="E58">
        <f>MONTH(day_cash[[#This Row],[Date]])</f>
        <v>2</v>
      </c>
    </row>
    <row r="59" spans="2:5" x14ac:dyDescent="0.45">
      <c r="B59" s="1">
        <v>46444</v>
      </c>
      <c r="C59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11250</v>
      </c>
      <c r="D59" s="3">
        <f>IFERROR(day_cash[[#This Row],[Daily Cost]]+D58, 0)</f>
        <v>296250</v>
      </c>
      <c r="E59">
        <f>MONTH(day_cash[[#This Row],[Date]])</f>
        <v>2</v>
      </c>
    </row>
    <row r="60" spans="2:5" x14ac:dyDescent="0.45">
      <c r="B60" s="1">
        <v>46445</v>
      </c>
      <c r="C60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60" s="3">
        <f>IFERROR(day_cash[[#This Row],[Daily Cost]]+D59, 0)</f>
        <v>296250</v>
      </c>
      <c r="E60">
        <f>MONTH(day_cash[[#This Row],[Date]])</f>
        <v>2</v>
      </c>
    </row>
    <row r="61" spans="2:5" x14ac:dyDescent="0.45">
      <c r="B61" s="1">
        <v>46446</v>
      </c>
      <c r="C61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61" s="3">
        <f>IFERROR(day_cash[[#This Row],[Daily Cost]]+D60, 0)</f>
        <v>296250</v>
      </c>
      <c r="E61">
        <f>MONTH(day_cash[[#This Row],[Date]])</f>
        <v>2</v>
      </c>
    </row>
    <row r="62" spans="2:5" x14ac:dyDescent="0.45">
      <c r="B62" s="1">
        <v>46447</v>
      </c>
      <c r="C62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12250</v>
      </c>
      <c r="D62" s="3">
        <f>IFERROR(day_cash[[#This Row],[Daily Cost]]+D61, 0)</f>
        <v>308500</v>
      </c>
      <c r="E62">
        <f>MONTH(day_cash[[#This Row],[Date]])</f>
        <v>3</v>
      </c>
    </row>
    <row r="63" spans="2:5" x14ac:dyDescent="0.45">
      <c r="B63" s="1">
        <v>46448</v>
      </c>
      <c r="C63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12250</v>
      </c>
      <c r="D63" s="3">
        <f>IFERROR(day_cash[[#This Row],[Daily Cost]]+D62, 0)</f>
        <v>320750</v>
      </c>
      <c r="E63">
        <f>MONTH(day_cash[[#This Row],[Date]])</f>
        <v>3</v>
      </c>
    </row>
    <row r="64" spans="2:5" x14ac:dyDescent="0.45">
      <c r="B64" s="1">
        <v>46449</v>
      </c>
      <c r="C64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12250</v>
      </c>
      <c r="D64" s="3">
        <f>IFERROR(day_cash[[#This Row],[Daily Cost]]+D63, 0)</f>
        <v>333000</v>
      </c>
      <c r="E64">
        <f>MONTH(day_cash[[#This Row],[Date]])</f>
        <v>3</v>
      </c>
    </row>
    <row r="65" spans="2:5" x14ac:dyDescent="0.45">
      <c r="B65" s="1">
        <v>46450</v>
      </c>
      <c r="C65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12250</v>
      </c>
      <c r="D65" s="3">
        <f>IFERROR(day_cash[[#This Row],[Daily Cost]]+D64, 0)</f>
        <v>345250</v>
      </c>
      <c r="E65">
        <f>MONTH(day_cash[[#This Row],[Date]])</f>
        <v>3</v>
      </c>
    </row>
    <row r="66" spans="2:5" x14ac:dyDescent="0.45">
      <c r="B66" s="1">
        <v>46451</v>
      </c>
      <c r="C66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12250</v>
      </c>
      <c r="D66" s="3">
        <f>IFERROR(day_cash[[#This Row],[Daily Cost]]+D65, 0)</f>
        <v>357500</v>
      </c>
      <c r="E66">
        <f>MONTH(day_cash[[#This Row],[Date]])</f>
        <v>3</v>
      </c>
    </row>
    <row r="67" spans="2:5" x14ac:dyDescent="0.45">
      <c r="B67" s="1">
        <v>46452</v>
      </c>
      <c r="C67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67" s="3">
        <f>IFERROR(day_cash[[#This Row],[Daily Cost]]+D66, 0)</f>
        <v>357500</v>
      </c>
      <c r="E67">
        <f>MONTH(day_cash[[#This Row],[Date]])</f>
        <v>3</v>
      </c>
    </row>
    <row r="68" spans="2:5" x14ac:dyDescent="0.45">
      <c r="B68" s="1">
        <v>46453</v>
      </c>
      <c r="C68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68" s="3">
        <f>IFERROR(day_cash[[#This Row],[Daily Cost]]+D67, 0)</f>
        <v>357500</v>
      </c>
      <c r="E68">
        <f>MONTH(day_cash[[#This Row],[Date]])</f>
        <v>3</v>
      </c>
    </row>
    <row r="69" spans="2:5" x14ac:dyDescent="0.45">
      <c r="B69" s="1">
        <v>46454</v>
      </c>
      <c r="C69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19750</v>
      </c>
      <c r="D69" s="3">
        <f>IFERROR(day_cash[[#This Row],[Daily Cost]]+D68, 0)</f>
        <v>377250</v>
      </c>
      <c r="E69">
        <f>MONTH(day_cash[[#This Row],[Date]])</f>
        <v>3</v>
      </c>
    </row>
    <row r="70" spans="2:5" x14ac:dyDescent="0.45">
      <c r="B70" s="1">
        <v>46455</v>
      </c>
      <c r="C70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19750</v>
      </c>
      <c r="D70" s="3">
        <f>IFERROR(day_cash[[#This Row],[Daily Cost]]+D69, 0)</f>
        <v>397000</v>
      </c>
      <c r="E70">
        <f>MONTH(day_cash[[#This Row],[Date]])</f>
        <v>3</v>
      </c>
    </row>
    <row r="71" spans="2:5" x14ac:dyDescent="0.45">
      <c r="B71" s="1">
        <v>46456</v>
      </c>
      <c r="C71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19750</v>
      </c>
      <c r="D71" s="3">
        <f>IFERROR(day_cash[[#This Row],[Daily Cost]]+D70, 0)</f>
        <v>416750</v>
      </c>
      <c r="E71">
        <f>MONTH(day_cash[[#This Row],[Date]])</f>
        <v>3</v>
      </c>
    </row>
    <row r="72" spans="2:5" x14ac:dyDescent="0.45">
      <c r="B72" s="1">
        <v>46457</v>
      </c>
      <c r="C72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19750</v>
      </c>
      <c r="D72" s="3">
        <f>IFERROR(day_cash[[#This Row],[Daily Cost]]+D71, 0)</f>
        <v>436500</v>
      </c>
      <c r="E72">
        <f>MONTH(day_cash[[#This Row],[Date]])</f>
        <v>3</v>
      </c>
    </row>
    <row r="73" spans="2:5" x14ac:dyDescent="0.45">
      <c r="B73" s="1">
        <v>46458</v>
      </c>
      <c r="C73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19750</v>
      </c>
      <c r="D73" s="3">
        <f>IFERROR(day_cash[[#This Row],[Daily Cost]]+D72, 0)</f>
        <v>456250</v>
      </c>
      <c r="E73">
        <f>MONTH(day_cash[[#This Row],[Date]])</f>
        <v>3</v>
      </c>
    </row>
    <row r="74" spans="2:5" x14ac:dyDescent="0.45">
      <c r="B74" s="1">
        <v>46459</v>
      </c>
      <c r="C74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74" s="3">
        <f>IFERROR(day_cash[[#This Row],[Daily Cost]]+D73, 0)</f>
        <v>456250</v>
      </c>
      <c r="E74">
        <f>MONTH(day_cash[[#This Row],[Date]])</f>
        <v>3</v>
      </c>
    </row>
    <row r="75" spans="2:5" x14ac:dyDescent="0.45">
      <c r="B75" s="1">
        <v>46460</v>
      </c>
      <c r="C75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75" s="3">
        <f>IFERROR(day_cash[[#This Row],[Daily Cost]]+D74, 0)</f>
        <v>456250</v>
      </c>
      <c r="E75">
        <f>MONTH(day_cash[[#This Row],[Date]])</f>
        <v>3</v>
      </c>
    </row>
    <row r="76" spans="2:5" x14ac:dyDescent="0.45">
      <c r="B76" s="1">
        <v>46461</v>
      </c>
      <c r="C76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22750</v>
      </c>
      <c r="D76" s="3">
        <f>IFERROR(day_cash[[#This Row],[Daily Cost]]+D75, 0)</f>
        <v>479000</v>
      </c>
      <c r="E76">
        <f>MONTH(day_cash[[#This Row],[Date]])</f>
        <v>3</v>
      </c>
    </row>
    <row r="77" spans="2:5" x14ac:dyDescent="0.45">
      <c r="B77" s="1">
        <v>46462</v>
      </c>
      <c r="C77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22750</v>
      </c>
      <c r="D77" s="3">
        <f>IFERROR(day_cash[[#This Row],[Daily Cost]]+D76, 0)</f>
        <v>501750</v>
      </c>
      <c r="E77">
        <f>MONTH(day_cash[[#This Row],[Date]])</f>
        <v>3</v>
      </c>
    </row>
    <row r="78" spans="2:5" x14ac:dyDescent="0.45">
      <c r="B78" s="1">
        <v>46463</v>
      </c>
      <c r="C78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22750</v>
      </c>
      <c r="D78" s="3">
        <f>IFERROR(day_cash[[#This Row],[Daily Cost]]+D77, 0)</f>
        <v>524500</v>
      </c>
      <c r="E78">
        <f>MONTH(day_cash[[#This Row],[Date]])</f>
        <v>3</v>
      </c>
    </row>
    <row r="79" spans="2:5" x14ac:dyDescent="0.45">
      <c r="B79" s="1">
        <v>46464</v>
      </c>
      <c r="C79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22750</v>
      </c>
      <c r="D79" s="3">
        <f>IFERROR(day_cash[[#This Row],[Daily Cost]]+D78, 0)</f>
        <v>547250</v>
      </c>
      <c r="E79">
        <f>MONTH(day_cash[[#This Row],[Date]])</f>
        <v>3</v>
      </c>
    </row>
    <row r="80" spans="2:5" x14ac:dyDescent="0.45">
      <c r="B80" s="1">
        <v>46465</v>
      </c>
      <c r="C80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22750</v>
      </c>
      <c r="D80" s="3">
        <f>IFERROR(day_cash[[#This Row],[Daily Cost]]+D79, 0)</f>
        <v>570000</v>
      </c>
      <c r="E80">
        <f>MONTH(day_cash[[#This Row],[Date]])</f>
        <v>3</v>
      </c>
    </row>
    <row r="81" spans="2:5" x14ac:dyDescent="0.45">
      <c r="B81" s="1">
        <v>46466</v>
      </c>
      <c r="C81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81" s="3">
        <f>IFERROR(day_cash[[#This Row],[Daily Cost]]+D80, 0)</f>
        <v>570000</v>
      </c>
      <c r="E81">
        <f>MONTH(day_cash[[#This Row],[Date]])</f>
        <v>3</v>
      </c>
    </row>
    <row r="82" spans="2:5" x14ac:dyDescent="0.45">
      <c r="B82" s="1">
        <v>46467</v>
      </c>
      <c r="C82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82" s="3">
        <f>IFERROR(day_cash[[#This Row],[Daily Cost]]+D81, 0)</f>
        <v>570000</v>
      </c>
      <c r="E82">
        <f>MONTH(day_cash[[#This Row],[Date]])</f>
        <v>3</v>
      </c>
    </row>
    <row r="83" spans="2:5" x14ac:dyDescent="0.45">
      <c r="B83" s="1">
        <v>46468</v>
      </c>
      <c r="C83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19250</v>
      </c>
      <c r="D83" s="3">
        <f>IFERROR(day_cash[[#This Row],[Daily Cost]]+D82, 0)</f>
        <v>589250</v>
      </c>
      <c r="E83">
        <f>MONTH(day_cash[[#This Row],[Date]])</f>
        <v>3</v>
      </c>
    </row>
    <row r="84" spans="2:5" x14ac:dyDescent="0.45">
      <c r="B84" s="1">
        <v>46469</v>
      </c>
      <c r="C84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19250</v>
      </c>
      <c r="D84" s="3">
        <f>IFERROR(day_cash[[#This Row],[Daily Cost]]+D83, 0)</f>
        <v>608500</v>
      </c>
      <c r="E84">
        <f>MONTH(day_cash[[#This Row],[Date]])</f>
        <v>3</v>
      </c>
    </row>
    <row r="85" spans="2:5" x14ac:dyDescent="0.45">
      <c r="B85" s="1">
        <v>46470</v>
      </c>
      <c r="C85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19250</v>
      </c>
      <c r="D85" s="3">
        <f>IFERROR(day_cash[[#This Row],[Daily Cost]]+D84, 0)</f>
        <v>627750</v>
      </c>
      <c r="E85">
        <f>MONTH(day_cash[[#This Row],[Date]])</f>
        <v>3</v>
      </c>
    </row>
    <row r="86" spans="2:5" x14ac:dyDescent="0.45">
      <c r="B86" s="1">
        <v>46471</v>
      </c>
      <c r="C86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19250</v>
      </c>
      <c r="D86" s="3">
        <f>IFERROR(day_cash[[#This Row],[Daily Cost]]+D85, 0)</f>
        <v>647000</v>
      </c>
      <c r="E86">
        <f>MONTH(day_cash[[#This Row],[Date]])</f>
        <v>3</v>
      </c>
    </row>
    <row r="87" spans="2:5" x14ac:dyDescent="0.45">
      <c r="B87" s="1">
        <v>46472</v>
      </c>
      <c r="C87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19250</v>
      </c>
      <c r="D87" s="3">
        <f>IFERROR(day_cash[[#This Row],[Daily Cost]]+D86, 0)</f>
        <v>666250</v>
      </c>
      <c r="E87">
        <f>MONTH(day_cash[[#This Row],[Date]])</f>
        <v>3</v>
      </c>
    </row>
    <row r="88" spans="2:5" x14ac:dyDescent="0.45">
      <c r="B88" s="1">
        <v>46473</v>
      </c>
      <c r="C88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88" s="3">
        <f>IFERROR(day_cash[[#This Row],[Daily Cost]]+D87, 0)</f>
        <v>666250</v>
      </c>
      <c r="E88">
        <f>MONTH(day_cash[[#This Row],[Date]])</f>
        <v>3</v>
      </c>
    </row>
    <row r="89" spans="2:5" x14ac:dyDescent="0.45">
      <c r="B89" s="1">
        <v>46474</v>
      </c>
      <c r="C89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89" s="3">
        <f>IFERROR(day_cash[[#This Row],[Daily Cost]]+D88, 0)</f>
        <v>666250</v>
      </c>
      <c r="E89">
        <f>MONTH(day_cash[[#This Row],[Date]])</f>
        <v>3</v>
      </c>
    </row>
    <row r="90" spans="2:5" x14ac:dyDescent="0.45">
      <c r="B90" s="1">
        <v>46475</v>
      </c>
      <c r="C90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6750</v>
      </c>
      <c r="D90" s="3">
        <f>IFERROR(day_cash[[#This Row],[Daily Cost]]+D89, 0)</f>
        <v>673000</v>
      </c>
      <c r="E90">
        <f>MONTH(day_cash[[#This Row],[Date]])</f>
        <v>3</v>
      </c>
    </row>
    <row r="91" spans="2:5" x14ac:dyDescent="0.45">
      <c r="B91" s="1">
        <v>46476</v>
      </c>
      <c r="C91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6750</v>
      </c>
      <c r="D91" s="3">
        <f>IFERROR(day_cash[[#This Row],[Daily Cost]]+D90, 0)</f>
        <v>679750</v>
      </c>
      <c r="E91">
        <f>MONTH(day_cash[[#This Row],[Date]])</f>
        <v>3</v>
      </c>
    </row>
    <row r="92" spans="2:5" x14ac:dyDescent="0.45">
      <c r="B92" s="1">
        <v>46477</v>
      </c>
      <c r="C92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6750</v>
      </c>
      <c r="D92" s="3">
        <f>IFERROR(day_cash[[#This Row],[Daily Cost]]+D91, 0)</f>
        <v>686500</v>
      </c>
      <c r="E92">
        <f>MONTH(day_cash[[#This Row],[Date]])</f>
        <v>3</v>
      </c>
    </row>
    <row r="93" spans="2:5" x14ac:dyDescent="0.45">
      <c r="B93" s="1">
        <v>46478</v>
      </c>
      <c r="C93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6750</v>
      </c>
      <c r="D93" s="3">
        <f>IFERROR(day_cash[[#This Row],[Daily Cost]]+D92, 0)</f>
        <v>693250</v>
      </c>
      <c r="E93">
        <f>MONTH(day_cash[[#This Row],[Date]])</f>
        <v>4</v>
      </c>
    </row>
    <row r="94" spans="2:5" x14ac:dyDescent="0.45">
      <c r="B94" s="1">
        <v>46479</v>
      </c>
      <c r="C94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6750</v>
      </c>
      <c r="D94" s="3">
        <f>IFERROR(day_cash[[#This Row],[Daily Cost]]+D93, 0)</f>
        <v>700000</v>
      </c>
      <c r="E94">
        <f>MONTH(day_cash[[#This Row],[Date]])</f>
        <v>4</v>
      </c>
    </row>
    <row r="95" spans="2:5" x14ac:dyDescent="0.45">
      <c r="B95" s="1">
        <v>46480</v>
      </c>
      <c r="C95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95" s="3">
        <f>IFERROR(day_cash[[#This Row],[Daily Cost]]+D94, 0)</f>
        <v>700000</v>
      </c>
      <c r="E95">
        <f>MONTH(day_cash[[#This Row],[Date]])</f>
        <v>4</v>
      </c>
    </row>
    <row r="96" spans="2:5" x14ac:dyDescent="0.45">
      <c r="B96" s="1">
        <v>46481</v>
      </c>
      <c r="C96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96" s="3">
        <f>IFERROR(day_cash[[#This Row],[Daily Cost]]+D95, 0)</f>
        <v>700000</v>
      </c>
      <c r="E96">
        <f>MONTH(day_cash[[#This Row],[Date]])</f>
        <v>4</v>
      </c>
    </row>
    <row r="97" spans="2:5" x14ac:dyDescent="0.45">
      <c r="B97" s="1">
        <v>46482</v>
      </c>
      <c r="C97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6750</v>
      </c>
      <c r="D97" s="3">
        <f>IFERROR(day_cash[[#This Row],[Daily Cost]]+D96, 0)</f>
        <v>706750</v>
      </c>
      <c r="E97">
        <f>MONTH(day_cash[[#This Row],[Date]])</f>
        <v>4</v>
      </c>
    </row>
    <row r="98" spans="2:5" x14ac:dyDescent="0.45">
      <c r="B98" s="1">
        <v>46483</v>
      </c>
      <c r="C98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6750</v>
      </c>
      <c r="D98" s="3">
        <f>IFERROR(day_cash[[#This Row],[Daily Cost]]+D97, 0)</f>
        <v>713500</v>
      </c>
      <c r="E98">
        <f>MONTH(day_cash[[#This Row],[Date]])</f>
        <v>4</v>
      </c>
    </row>
    <row r="99" spans="2:5" x14ac:dyDescent="0.45">
      <c r="B99" s="1">
        <v>46484</v>
      </c>
      <c r="C99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6750</v>
      </c>
      <c r="D99" s="3">
        <f>IFERROR(day_cash[[#This Row],[Daily Cost]]+D98, 0)</f>
        <v>720250</v>
      </c>
      <c r="E99">
        <f>MONTH(day_cash[[#This Row],[Date]])</f>
        <v>4</v>
      </c>
    </row>
    <row r="100" spans="2:5" x14ac:dyDescent="0.45">
      <c r="B100" s="1">
        <v>46485</v>
      </c>
      <c r="C100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6750</v>
      </c>
      <c r="D100" s="3">
        <f>IFERROR(day_cash[[#This Row],[Daily Cost]]+D99, 0)</f>
        <v>727000</v>
      </c>
      <c r="E100">
        <f>MONTH(day_cash[[#This Row],[Date]])</f>
        <v>4</v>
      </c>
    </row>
    <row r="101" spans="2:5" x14ac:dyDescent="0.45">
      <c r="B101" s="1">
        <v>46486</v>
      </c>
      <c r="C101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6750</v>
      </c>
      <c r="D101" s="3">
        <f>IFERROR(day_cash[[#This Row],[Daily Cost]]+D100, 0)</f>
        <v>733750</v>
      </c>
      <c r="E101">
        <f>MONTH(day_cash[[#This Row],[Date]])</f>
        <v>4</v>
      </c>
    </row>
    <row r="102" spans="2:5" x14ac:dyDescent="0.45">
      <c r="B102" s="1">
        <v>46487</v>
      </c>
      <c r="C102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02" s="3">
        <f>IFERROR(day_cash[[#This Row],[Daily Cost]]+D101, 0)</f>
        <v>733750</v>
      </c>
      <c r="E102">
        <f>MONTH(day_cash[[#This Row],[Date]])</f>
        <v>4</v>
      </c>
    </row>
    <row r="103" spans="2:5" x14ac:dyDescent="0.45">
      <c r="B103" s="1">
        <v>46488</v>
      </c>
      <c r="C103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03" s="3">
        <f>IFERROR(day_cash[[#This Row],[Daily Cost]]+D102, 0)</f>
        <v>733750</v>
      </c>
      <c r="E103">
        <f>MONTH(day_cash[[#This Row],[Date]])</f>
        <v>4</v>
      </c>
    </row>
    <row r="104" spans="2:5" x14ac:dyDescent="0.45">
      <c r="B104" s="1">
        <v>46489</v>
      </c>
      <c r="C104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17250</v>
      </c>
      <c r="D104" s="3">
        <f>IFERROR(day_cash[[#This Row],[Daily Cost]]+D103, 0)</f>
        <v>751000</v>
      </c>
      <c r="E104">
        <f>MONTH(day_cash[[#This Row],[Date]])</f>
        <v>4</v>
      </c>
    </row>
    <row r="105" spans="2:5" x14ac:dyDescent="0.45">
      <c r="B105" s="1">
        <v>46490</v>
      </c>
      <c r="C105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17250</v>
      </c>
      <c r="D105" s="3">
        <f>IFERROR(day_cash[[#This Row],[Daily Cost]]+D104, 0)</f>
        <v>768250</v>
      </c>
      <c r="E105">
        <f>MONTH(day_cash[[#This Row],[Date]])</f>
        <v>4</v>
      </c>
    </row>
    <row r="106" spans="2:5" x14ac:dyDescent="0.45">
      <c r="B106" s="1">
        <v>46491</v>
      </c>
      <c r="C106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17250</v>
      </c>
      <c r="D106" s="3">
        <f>IFERROR(day_cash[[#This Row],[Daily Cost]]+D105, 0)</f>
        <v>785500</v>
      </c>
      <c r="E106">
        <f>MONTH(day_cash[[#This Row],[Date]])</f>
        <v>4</v>
      </c>
    </row>
    <row r="107" spans="2:5" x14ac:dyDescent="0.45">
      <c r="B107" s="1">
        <v>46492</v>
      </c>
      <c r="C107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17250</v>
      </c>
      <c r="D107" s="3">
        <f>IFERROR(day_cash[[#This Row],[Daily Cost]]+D106, 0)</f>
        <v>802750</v>
      </c>
      <c r="E107">
        <f>MONTH(day_cash[[#This Row],[Date]])</f>
        <v>4</v>
      </c>
    </row>
    <row r="108" spans="2:5" x14ac:dyDescent="0.45">
      <c r="B108" s="1">
        <v>46493</v>
      </c>
      <c r="C108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17250</v>
      </c>
      <c r="D108" s="3">
        <f>IFERROR(day_cash[[#This Row],[Daily Cost]]+D107, 0)</f>
        <v>820000</v>
      </c>
      <c r="E108">
        <f>MONTH(day_cash[[#This Row],[Date]])</f>
        <v>4</v>
      </c>
    </row>
    <row r="109" spans="2:5" x14ac:dyDescent="0.45">
      <c r="B109" s="1">
        <v>46494</v>
      </c>
      <c r="C109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09" s="3">
        <f>IFERROR(day_cash[[#This Row],[Daily Cost]]+D108, 0)</f>
        <v>820000</v>
      </c>
      <c r="E109">
        <f>MONTH(day_cash[[#This Row],[Date]])</f>
        <v>4</v>
      </c>
    </row>
    <row r="110" spans="2:5" x14ac:dyDescent="0.45">
      <c r="B110" s="1">
        <v>46495</v>
      </c>
      <c r="C110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10" s="3">
        <f>IFERROR(day_cash[[#This Row],[Daily Cost]]+D109, 0)</f>
        <v>820000</v>
      </c>
      <c r="E110">
        <f>MONTH(day_cash[[#This Row],[Date]])</f>
        <v>4</v>
      </c>
    </row>
    <row r="111" spans="2:5" x14ac:dyDescent="0.45">
      <c r="B111" s="1">
        <v>46496</v>
      </c>
      <c r="C111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11250</v>
      </c>
      <c r="D111" s="3">
        <f>IFERROR(day_cash[[#This Row],[Daily Cost]]+D110, 0)</f>
        <v>831250</v>
      </c>
      <c r="E111">
        <f>MONTH(day_cash[[#This Row],[Date]])</f>
        <v>4</v>
      </c>
    </row>
    <row r="112" spans="2:5" x14ac:dyDescent="0.45">
      <c r="B112" s="1">
        <v>46497</v>
      </c>
      <c r="C112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11250</v>
      </c>
      <c r="D112" s="3">
        <f>IFERROR(day_cash[[#This Row],[Daily Cost]]+D111, 0)</f>
        <v>842500</v>
      </c>
      <c r="E112">
        <f>MONTH(day_cash[[#This Row],[Date]])</f>
        <v>4</v>
      </c>
    </row>
    <row r="113" spans="2:5" x14ac:dyDescent="0.45">
      <c r="B113" s="1">
        <v>46498</v>
      </c>
      <c r="C113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11250</v>
      </c>
      <c r="D113" s="3">
        <f>IFERROR(day_cash[[#This Row],[Daily Cost]]+D112, 0)</f>
        <v>853750</v>
      </c>
      <c r="E113">
        <f>MONTH(day_cash[[#This Row],[Date]])</f>
        <v>4</v>
      </c>
    </row>
    <row r="114" spans="2:5" x14ac:dyDescent="0.45">
      <c r="B114" s="1">
        <v>46499</v>
      </c>
      <c r="C114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11250</v>
      </c>
      <c r="D114" s="3">
        <f>IFERROR(day_cash[[#This Row],[Daily Cost]]+D113, 0)</f>
        <v>865000</v>
      </c>
      <c r="E114">
        <f>MONTH(day_cash[[#This Row],[Date]])</f>
        <v>4</v>
      </c>
    </row>
    <row r="115" spans="2:5" x14ac:dyDescent="0.45">
      <c r="B115" s="1">
        <v>46500</v>
      </c>
      <c r="C115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11250</v>
      </c>
      <c r="D115" s="3">
        <f>IFERROR(day_cash[[#This Row],[Daily Cost]]+D114, 0)</f>
        <v>876250</v>
      </c>
      <c r="E115">
        <f>MONTH(day_cash[[#This Row],[Date]])</f>
        <v>4</v>
      </c>
    </row>
    <row r="116" spans="2:5" x14ac:dyDescent="0.45">
      <c r="B116" s="1">
        <v>46501</v>
      </c>
      <c r="C116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16" s="3">
        <f>IFERROR(day_cash[[#This Row],[Daily Cost]]+D115, 0)</f>
        <v>876250</v>
      </c>
      <c r="E116">
        <f>MONTH(day_cash[[#This Row],[Date]])</f>
        <v>4</v>
      </c>
    </row>
    <row r="117" spans="2:5" x14ac:dyDescent="0.45">
      <c r="B117" s="1">
        <v>46502</v>
      </c>
      <c r="C117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17" s="3">
        <f>IFERROR(day_cash[[#This Row],[Daily Cost]]+D116, 0)</f>
        <v>876250</v>
      </c>
      <c r="E117">
        <f>MONTH(day_cash[[#This Row],[Date]])</f>
        <v>4</v>
      </c>
    </row>
    <row r="118" spans="2:5" x14ac:dyDescent="0.45">
      <c r="B118" s="1">
        <v>46503</v>
      </c>
      <c r="C118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6750</v>
      </c>
      <c r="D118" s="3">
        <f>IFERROR(day_cash[[#This Row],[Daily Cost]]+D117, 0)</f>
        <v>883000</v>
      </c>
      <c r="E118">
        <f>MONTH(day_cash[[#This Row],[Date]])</f>
        <v>4</v>
      </c>
    </row>
    <row r="119" spans="2:5" x14ac:dyDescent="0.45">
      <c r="B119" s="1">
        <v>46504</v>
      </c>
      <c r="C119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6750</v>
      </c>
      <c r="D119" s="3">
        <f>IFERROR(day_cash[[#This Row],[Daily Cost]]+D118, 0)</f>
        <v>889750</v>
      </c>
      <c r="E119">
        <f>MONTH(day_cash[[#This Row],[Date]])</f>
        <v>4</v>
      </c>
    </row>
    <row r="120" spans="2:5" x14ac:dyDescent="0.45">
      <c r="B120" s="1">
        <v>46505</v>
      </c>
      <c r="C120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6750</v>
      </c>
      <c r="D120" s="3">
        <f>IFERROR(day_cash[[#This Row],[Daily Cost]]+D119, 0)</f>
        <v>896500</v>
      </c>
      <c r="E120">
        <f>MONTH(day_cash[[#This Row],[Date]])</f>
        <v>4</v>
      </c>
    </row>
    <row r="121" spans="2:5" x14ac:dyDescent="0.45">
      <c r="B121" s="1">
        <v>46506</v>
      </c>
      <c r="C121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6750</v>
      </c>
      <c r="D121" s="3">
        <f>IFERROR(day_cash[[#This Row],[Daily Cost]]+D120, 0)</f>
        <v>903250</v>
      </c>
      <c r="E121">
        <f>MONTH(day_cash[[#This Row],[Date]])</f>
        <v>4</v>
      </c>
    </row>
    <row r="122" spans="2:5" x14ac:dyDescent="0.45">
      <c r="B122" s="1">
        <v>46507</v>
      </c>
      <c r="C122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6750</v>
      </c>
      <c r="D122" s="3">
        <f>IFERROR(day_cash[[#This Row],[Daily Cost]]+D121, 0)</f>
        <v>910000</v>
      </c>
      <c r="E122">
        <f>MONTH(day_cash[[#This Row],[Date]])</f>
        <v>4</v>
      </c>
    </row>
    <row r="123" spans="2:5" x14ac:dyDescent="0.45">
      <c r="B123" s="1">
        <v>46508</v>
      </c>
      <c r="C123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23" s="3">
        <f>IFERROR(day_cash[[#This Row],[Daily Cost]]+D122, 0)</f>
        <v>910000</v>
      </c>
      <c r="E123">
        <f>MONTH(day_cash[[#This Row],[Date]])</f>
        <v>5</v>
      </c>
    </row>
    <row r="124" spans="2:5" x14ac:dyDescent="0.45">
      <c r="B124" s="1">
        <v>46509</v>
      </c>
      <c r="C124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24" s="3">
        <f>IFERROR(day_cash[[#This Row],[Daily Cost]]+D123, 0)</f>
        <v>910000</v>
      </c>
      <c r="E124">
        <f>MONTH(day_cash[[#This Row],[Date]])</f>
        <v>5</v>
      </c>
    </row>
    <row r="125" spans="2:5" x14ac:dyDescent="0.45">
      <c r="B125" s="1">
        <v>46510</v>
      </c>
      <c r="C125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6750</v>
      </c>
      <c r="D125" s="3">
        <f>IFERROR(day_cash[[#This Row],[Daily Cost]]+D124, 0)</f>
        <v>916750</v>
      </c>
      <c r="E125">
        <f>MONTH(day_cash[[#This Row],[Date]])</f>
        <v>5</v>
      </c>
    </row>
    <row r="126" spans="2:5" x14ac:dyDescent="0.45">
      <c r="B126" s="1">
        <v>46511</v>
      </c>
      <c r="C126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6750</v>
      </c>
      <c r="D126" s="3">
        <f>IFERROR(day_cash[[#This Row],[Daily Cost]]+D125, 0)</f>
        <v>923500</v>
      </c>
      <c r="E126">
        <f>MONTH(day_cash[[#This Row],[Date]])</f>
        <v>5</v>
      </c>
    </row>
    <row r="127" spans="2:5" x14ac:dyDescent="0.45">
      <c r="B127" s="1">
        <v>46512</v>
      </c>
      <c r="C127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6750</v>
      </c>
      <c r="D127" s="3">
        <f>IFERROR(day_cash[[#This Row],[Daily Cost]]+D126, 0)</f>
        <v>930250</v>
      </c>
      <c r="E127">
        <f>MONTH(day_cash[[#This Row],[Date]])</f>
        <v>5</v>
      </c>
    </row>
    <row r="128" spans="2:5" x14ac:dyDescent="0.45">
      <c r="B128" s="1">
        <v>46513</v>
      </c>
      <c r="C128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6750</v>
      </c>
      <c r="D128" s="3">
        <f>IFERROR(day_cash[[#This Row],[Daily Cost]]+D127, 0)</f>
        <v>937000</v>
      </c>
      <c r="E128">
        <f>MONTH(day_cash[[#This Row],[Date]])</f>
        <v>5</v>
      </c>
    </row>
    <row r="129" spans="2:5" x14ac:dyDescent="0.45">
      <c r="B129" s="1">
        <v>46514</v>
      </c>
      <c r="C129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6750</v>
      </c>
      <c r="D129" s="3">
        <f>IFERROR(day_cash[[#This Row],[Daily Cost]]+D128, 0)</f>
        <v>943750</v>
      </c>
      <c r="E129">
        <f>MONTH(day_cash[[#This Row],[Date]])</f>
        <v>5</v>
      </c>
    </row>
    <row r="130" spans="2:5" x14ac:dyDescent="0.45">
      <c r="B130" s="1">
        <v>46515</v>
      </c>
      <c r="C130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30" s="3">
        <f>IFERROR(day_cash[[#This Row],[Daily Cost]]+D129, 0)</f>
        <v>943750</v>
      </c>
      <c r="E130">
        <f>MONTH(day_cash[[#This Row],[Date]])</f>
        <v>5</v>
      </c>
    </row>
    <row r="131" spans="2:5" x14ac:dyDescent="0.45">
      <c r="B131" s="1">
        <v>46516</v>
      </c>
      <c r="C131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31" s="3">
        <f>IFERROR(day_cash[[#This Row],[Daily Cost]]+D130, 0)</f>
        <v>943750</v>
      </c>
      <c r="E131">
        <f>MONTH(day_cash[[#This Row],[Date]])</f>
        <v>5</v>
      </c>
    </row>
    <row r="132" spans="2:5" x14ac:dyDescent="0.45">
      <c r="B132" s="1">
        <v>46517</v>
      </c>
      <c r="C132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2000</v>
      </c>
      <c r="D132" s="3">
        <f>IFERROR(day_cash[[#This Row],[Daily Cost]]+D131, 0)</f>
        <v>945750</v>
      </c>
      <c r="E132">
        <f>MONTH(day_cash[[#This Row],[Date]])</f>
        <v>5</v>
      </c>
    </row>
    <row r="133" spans="2:5" x14ac:dyDescent="0.45">
      <c r="B133" s="1">
        <v>46518</v>
      </c>
      <c r="C133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2000</v>
      </c>
      <c r="D133" s="3">
        <f>IFERROR(day_cash[[#This Row],[Daily Cost]]+D132, 0)</f>
        <v>947750</v>
      </c>
      <c r="E133">
        <f>MONTH(day_cash[[#This Row],[Date]])</f>
        <v>5</v>
      </c>
    </row>
    <row r="134" spans="2:5" x14ac:dyDescent="0.45">
      <c r="B134" s="1">
        <v>46519</v>
      </c>
      <c r="C134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2000</v>
      </c>
      <c r="D134" s="3">
        <f>IFERROR(day_cash[[#This Row],[Daily Cost]]+D133, 0)</f>
        <v>949750</v>
      </c>
      <c r="E134">
        <f>MONTH(day_cash[[#This Row],[Date]])</f>
        <v>5</v>
      </c>
    </row>
    <row r="135" spans="2:5" x14ac:dyDescent="0.45">
      <c r="B135" s="1">
        <v>46520</v>
      </c>
      <c r="C135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2000</v>
      </c>
      <c r="D135" s="3">
        <f>IFERROR(day_cash[[#This Row],[Daily Cost]]+D134, 0)</f>
        <v>951750</v>
      </c>
      <c r="E135">
        <f>MONTH(day_cash[[#This Row],[Date]])</f>
        <v>5</v>
      </c>
    </row>
    <row r="136" spans="2:5" x14ac:dyDescent="0.45">
      <c r="B136" s="1">
        <v>46521</v>
      </c>
      <c r="C136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2000</v>
      </c>
      <c r="D136" s="3">
        <f>IFERROR(day_cash[[#This Row],[Daily Cost]]+D135, 0)</f>
        <v>953750</v>
      </c>
      <c r="E136">
        <f>MONTH(day_cash[[#This Row],[Date]])</f>
        <v>5</v>
      </c>
    </row>
    <row r="137" spans="2:5" x14ac:dyDescent="0.45">
      <c r="B137" s="1">
        <v>46522</v>
      </c>
      <c r="C137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37" s="3">
        <f>IFERROR(day_cash[[#This Row],[Daily Cost]]+D136, 0)</f>
        <v>953750</v>
      </c>
      <c r="E137">
        <f>MONTH(day_cash[[#This Row],[Date]])</f>
        <v>5</v>
      </c>
    </row>
    <row r="138" spans="2:5" x14ac:dyDescent="0.45">
      <c r="B138" s="1">
        <v>46523</v>
      </c>
      <c r="C138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38" s="3">
        <f>IFERROR(day_cash[[#This Row],[Daily Cost]]+D137, 0)</f>
        <v>953750</v>
      </c>
      <c r="E138">
        <f>MONTH(day_cash[[#This Row],[Date]])</f>
        <v>5</v>
      </c>
    </row>
    <row r="139" spans="2:5" x14ac:dyDescent="0.45">
      <c r="B139" s="1">
        <v>46524</v>
      </c>
      <c r="C139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39" s="3">
        <f>IFERROR(day_cash[[#This Row],[Daily Cost]]+D138, 0)</f>
        <v>953750</v>
      </c>
      <c r="E139">
        <f>MONTH(day_cash[[#This Row],[Date]])</f>
        <v>5</v>
      </c>
    </row>
    <row r="140" spans="2:5" x14ac:dyDescent="0.45">
      <c r="B140" s="1">
        <v>46525</v>
      </c>
      <c r="C140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40" s="3">
        <f>IFERROR(day_cash[[#This Row],[Daily Cost]]+D139, 0)</f>
        <v>953750</v>
      </c>
      <c r="E140">
        <f>MONTH(day_cash[[#This Row],[Date]])</f>
        <v>5</v>
      </c>
    </row>
    <row r="141" spans="2:5" x14ac:dyDescent="0.45">
      <c r="B141" s="1">
        <v>46526</v>
      </c>
      <c r="C141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41" s="3">
        <f>IFERROR(day_cash[[#This Row],[Daily Cost]]+D140, 0)</f>
        <v>953750</v>
      </c>
      <c r="E141">
        <f>MONTH(day_cash[[#This Row],[Date]])</f>
        <v>5</v>
      </c>
    </row>
    <row r="142" spans="2:5" x14ac:dyDescent="0.45">
      <c r="B142" s="1">
        <v>46527</v>
      </c>
      <c r="C142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42" s="3">
        <f>IFERROR(day_cash[[#This Row],[Daily Cost]]+D141, 0)</f>
        <v>953750</v>
      </c>
      <c r="E142">
        <f>MONTH(day_cash[[#This Row],[Date]])</f>
        <v>5</v>
      </c>
    </row>
    <row r="143" spans="2:5" x14ac:dyDescent="0.45">
      <c r="B143" s="1">
        <v>46528</v>
      </c>
      <c r="C143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43" s="3">
        <f>IFERROR(day_cash[[#This Row],[Daily Cost]]+D142, 0)</f>
        <v>953750</v>
      </c>
      <c r="E143">
        <f>MONTH(day_cash[[#This Row],[Date]])</f>
        <v>5</v>
      </c>
    </row>
    <row r="144" spans="2:5" x14ac:dyDescent="0.45">
      <c r="B144" s="1">
        <v>46529</v>
      </c>
      <c r="C144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44" s="3">
        <f>IFERROR(day_cash[[#This Row],[Daily Cost]]+D143, 0)</f>
        <v>953750</v>
      </c>
      <c r="E144">
        <f>MONTH(day_cash[[#This Row],[Date]])</f>
        <v>5</v>
      </c>
    </row>
    <row r="145" spans="2:5" x14ac:dyDescent="0.45">
      <c r="B145" s="1">
        <v>46530</v>
      </c>
      <c r="C145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45" s="3">
        <f>IFERROR(day_cash[[#This Row],[Daily Cost]]+D144, 0)</f>
        <v>953750</v>
      </c>
      <c r="E145">
        <f>MONTH(day_cash[[#This Row],[Date]])</f>
        <v>5</v>
      </c>
    </row>
    <row r="146" spans="2:5" x14ac:dyDescent="0.45">
      <c r="B146" s="1">
        <v>46531</v>
      </c>
      <c r="C146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46" s="3">
        <f>IFERROR(day_cash[[#This Row],[Daily Cost]]+D145, 0)</f>
        <v>953750</v>
      </c>
      <c r="E146">
        <f>MONTH(day_cash[[#This Row],[Date]])</f>
        <v>5</v>
      </c>
    </row>
    <row r="147" spans="2:5" x14ac:dyDescent="0.45">
      <c r="B147" s="1">
        <v>46532</v>
      </c>
      <c r="C147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47" s="3">
        <f>IFERROR(day_cash[[#This Row],[Daily Cost]]+D146, 0)</f>
        <v>953750</v>
      </c>
      <c r="E147">
        <f>MONTH(day_cash[[#This Row],[Date]])</f>
        <v>5</v>
      </c>
    </row>
    <row r="148" spans="2:5" x14ac:dyDescent="0.45">
      <c r="B148" s="1">
        <v>46533</v>
      </c>
      <c r="C148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48" s="3">
        <f>IFERROR(day_cash[[#This Row],[Daily Cost]]+D147, 0)</f>
        <v>953750</v>
      </c>
      <c r="E148">
        <f>MONTH(day_cash[[#This Row],[Date]])</f>
        <v>5</v>
      </c>
    </row>
    <row r="149" spans="2:5" x14ac:dyDescent="0.45">
      <c r="B149" s="1">
        <v>46534</v>
      </c>
      <c r="C149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49" s="3">
        <f>IFERROR(day_cash[[#This Row],[Daily Cost]]+D148, 0)</f>
        <v>953750</v>
      </c>
      <c r="E149">
        <f>MONTH(day_cash[[#This Row],[Date]])</f>
        <v>5</v>
      </c>
    </row>
    <row r="150" spans="2:5" x14ac:dyDescent="0.45">
      <c r="B150" s="1">
        <v>46535</v>
      </c>
      <c r="C150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50" s="3">
        <f>IFERROR(day_cash[[#This Row],[Daily Cost]]+D149, 0)</f>
        <v>953750</v>
      </c>
      <c r="E150">
        <f>MONTH(day_cash[[#This Row],[Date]])</f>
        <v>5</v>
      </c>
    </row>
    <row r="151" spans="2:5" x14ac:dyDescent="0.45">
      <c r="B151" s="1">
        <v>46536</v>
      </c>
      <c r="C151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51" s="3">
        <f>IFERROR(day_cash[[#This Row],[Daily Cost]]+D150, 0)</f>
        <v>953750</v>
      </c>
      <c r="E151">
        <f>MONTH(day_cash[[#This Row],[Date]])</f>
        <v>5</v>
      </c>
    </row>
    <row r="152" spans="2:5" x14ac:dyDescent="0.45">
      <c r="B152" s="1">
        <v>46537</v>
      </c>
      <c r="C152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52" s="3">
        <f>IFERROR(day_cash[[#This Row],[Daily Cost]]+D151, 0)</f>
        <v>953750</v>
      </c>
      <c r="E152">
        <f>MONTH(day_cash[[#This Row],[Date]])</f>
        <v>5</v>
      </c>
    </row>
    <row r="153" spans="2:5" x14ac:dyDescent="0.45">
      <c r="B153" s="1">
        <v>46538</v>
      </c>
      <c r="C153" s="3">
        <f>IF((WORKDAY(day_cash[[#This Row],[Date]]-1, 1)=day_cash[[#This Row],[Date]])=TRUE, (SUMIFS(schedule[Cost per Day], schedule[Start Date],"&lt;="&amp;day_cash[[#This Row],[Date]], schedule[Finish Date],"&gt;="&amp;day_cash[[#This Row],[Date]])), 0)</f>
        <v>0</v>
      </c>
      <c r="D153" s="3">
        <f>IFERROR(day_cash[[#This Row],[Daily Cost]]+D152, 0)</f>
        <v>953750</v>
      </c>
      <c r="E153">
        <f>MONTH(day_cash[[#This Row],[Date]])</f>
        <v>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Cashflow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Hopkins</dc:creator>
  <cp:lastModifiedBy>David Hopkins</cp:lastModifiedBy>
  <dcterms:created xsi:type="dcterms:W3CDTF">2015-06-05T18:17:20Z</dcterms:created>
  <dcterms:modified xsi:type="dcterms:W3CDTF">2026-07-03T23:30:33Z</dcterms:modified>
</cp:coreProperties>
</file>